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avis365-my.sharepoint.com/personal/cmcmillan_ucdavis_edu/Documents/Documents/Github/CUE-UCD/Data/"/>
    </mc:Choice>
  </mc:AlternateContent>
  <xr:revisionPtr revIDLastSave="80" documentId="8_{2F3A0254-E365-4360-9137-E2295C9B4250}" xr6:coauthVersionLast="47" xr6:coauthVersionMax="47" xr10:uidLastSave="{A92ABADA-BC55-487C-8023-AB7598D9164B}"/>
  <bookViews>
    <workbookView xWindow="-28920" yWindow="1635" windowWidth="29040" windowHeight="15720" xr2:uid="{6EE7651C-E92C-4559-897D-C7BEB2EE0E8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2" i="1"/>
  <c r="U3" i="1"/>
  <c r="U4" i="1"/>
  <c r="U5" i="1"/>
  <c r="U6" i="1"/>
  <c r="U7" i="1"/>
  <c r="U8" i="1"/>
  <c r="U9" i="1"/>
  <c r="U10" i="1"/>
  <c r="U11" i="1"/>
  <c r="U2" i="1"/>
  <c r="T3" i="1"/>
  <c r="T4" i="1"/>
  <c r="T5" i="1"/>
  <c r="T6" i="1"/>
  <c r="T7" i="1"/>
  <c r="T8" i="1"/>
  <c r="T9" i="1"/>
  <c r="T10" i="1"/>
  <c r="T11" i="1"/>
  <c r="T2" i="1"/>
  <c r="R2" i="1"/>
  <c r="Q2" i="1"/>
  <c r="M3" i="1"/>
  <c r="P3" i="1" s="1"/>
  <c r="Q3" i="1" s="1"/>
  <c r="R3" i="1" s="1"/>
  <c r="S3" i="1" s="1"/>
  <c r="M4" i="1"/>
  <c r="P4" i="1" s="1"/>
  <c r="Q4" i="1" s="1"/>
  <c r="R4" i="1" s="1"/>
  <c r="M5" i="1"/>
  <c r="P5" i="1" s="1"/>
  <c r="Q5" i="1" s="1"/>
  <c r="R5" i="1" s="1"/>
  <c r="S5" i="1" s="1"/>
  <c r="M6" i="1"/>
  <c r="P6" i="1" s="1"/>
  <c r="M7" i="1"/>
  <c r="P7" i="1" s="1"/>
  <c r="Q7" i="1" s="1"/>
  <c r="R7" i="1" s="1"/>
  <c r="S7" i="1" s="1"/>
  <c r="M8" i="1"/>
  <c r="P8" i="1" s="1"/>
  <c r="Q8" i="1" s="1"/>
  <c r="R8" i="1" s="1"/>
  <c r="S8" i="1" s="1"/>
  <c r="M9" i="1"/>
  <c r="P9" i="1" s="1"/>
  <c r="Q9" i="1" s="1"/>
  <c r="M10" i="1"/>
  <c r="P10" i="1" s="1"/>
  <c r="Q10" i="1" s="1"/>
  <c r="R10" i="1" s="1"/>
  <c r="S10" i="1" s="1"/>
  <c r="M11" i="1"/>
  <c r="P11" i="1" s="1"/>
  <c r="Q11" i="1" s="1"/>
  <c r="R11" i="1" s="1"/>
  <c r="S11" i="1" s="1"/>
  <c r="M2" i="1"/>
  <c r="P2" i="1" s="1"/>
  <c r="G11" i="1"/>
  <c r="H11" i="1" s="1"/>
  <c r="I11" i="1" s="1"/>
  <c r="J11" i="1" s="1"/>
  <c r="G10" i="1"/>
  <c r="H10" i="1" s="1"/>
  <c r="I10" i="1" s="1"/>
  <c r="G9" i="1"/>
  <c r="G8" i="1"/>
  <c r="H8" i="1" s="1"/>
  <c r="I8" i="1" s="1"/>
  <c r="J8" i="1" s="1"/>
  <c r="G7" i="1"/>
  <c r="H7" i="1" s="1"/>
  <c r="I7" i="1" s="1"/>
  <c r="G6" i="1"/>
  <c r="H6" i="1" s="1"/>
  <c r="I6" i="1" s="1"/>
  <c r="G5" i="1"/>
  <c r="H5" i="1" s="1"/>
  <c r="I5" i="1" s="1"/>
  <c r="J5" i="1" s="1"/>
  <c r="G4" i="1"/>
  <c r="G3" i="1"/>
  <c r="G2" i="1"/>
  <c r="H2" i="1" s="1"/>
  <c r="I2" i="1" s="1"/>
  <c r="J2" i="1" s="1"/>
  <c r="S2" i="1" l="1"/>
  <c r="Q6" i="1"/>
  <c r="R6" i="1" s="1"/>
  <c r="S6" i="1" s="1"/>
  <c r="R9" i="1"/>
  <c r="S9" i="1" s="1"/>
  <c r="S4" i="1"/>
  <c r="H3" i="1"/>
  <c r="I3" i="1" s="1"/>
  <c r="J3" i="1" s="1"/>
  <c r="H9" i="1"/>
  <c r="I9" i="1" s="1"/>
  <c r="J9" i="1" s="1"/>
  <c r="H4" i="1"/>
  <c r="I4" i="1" s="1"/>
  <c r="J4" i="1" s="1"/>
  <c r="J7" i="1"/>
  <c r="J10" i="1"/>
  <c r="J6" i="1"/>
</calcChain>
</file>

<file path=xl/sharedStrings.xml><?xml version="1.0" encoding="utf-8"?>
<sst xmlns="http://schemas.openxmlformats.org/spreadsheetml/2006/main" count="38" uniqueCount="24">
  <si>
    <t>Site</t>
  </si>
  <si>
    <t>subplot</t>
  </si>
  <si>
    <t>Aggregatefraction</t>
  </si>
  <si>
    <t>g dry per g wet (100% water holding capacity)</t>
  </si>
  <si>
    <t>dry soil in 2 g</t>
  </si>
  <si>
    <t>Water in 2 g at 100% water holding capacity</t>
  </si>
  <si>
    <t>Desired water in 2 g</t>
  </si>
  <si>
    <t>Desired soil + water</t>
  </si>
  <si>
    <t>Desired moisture</t>
  </si>
  <si>
    <t>averages</t>
  </si>
  <si>
    <t>C</t>
  </si>
  <si>
    <t>A</t>
  </si>
  <si>
    <t>B</t>
  </si>
  <si>
    <t>Bulk</t>
  </si>
  <si>
    <t>D</t>
  </si>
  <si>
    <t>O</t>
  </si>
  <si>
    <t>Soil + water in container</t>
  </si>
  <si>
    <t>dry soil in container</t>
  </si>
  <si>
    <t>Water in container</t>
  </si>
  <si>
    <t>Desired water in container</t>
  </si>
  <si>
    <t>Container</t>
  </si>
  <si>
    <t>Desired soil + water + container final mass</t>
  </si>
  <si>
    <t>Field moisture</t>
  </si>
  <si>
    <t>Soil + water +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</si>
</sst>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118C-A0F2-45DD-ACF6-5560F8C1579D}">
  <dimension ref="A1:V11"/>
  <sheetViews>
    <sheetView tabSelected="1" workbookViewId="0">
      <selection activeCell="V2" sqref="V2:V11"/>
    </sheetView>
  </sheetViews>
  <sheetFormatPr defaultRowHeight="14.5" x14ac:dyDescent="0.35"/>
  <cols>
    <col min="3" max="3" width="9.08984375" bestFit="1" customWidth="1"/>
    <col min="14" max="15" width="8.7265625" style="1"/>
    <col min="17" max="17" width="16" customWidth="1"/>
    <col min="18" max="18" width="21.81640625" customWidth="1"/>
    <col min="19" max="19" width="34.54296875" customWidth="1"/>
  </cols>
  <sheetData>
    <row r="1" spans="1:22" x14ac:dyDescent="0.35">
      <c r="A1" t="s">
        <v>0</v>
      </c>
      <c r="B1" t="s">
        <v>1</v>
      </c>
      <c r="D1" t="s">
        <v>2</v>
      </c>
      <c r="E1" t="s">
        <v>22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16</v>
      </c>
      <c r="N1" s="1" t="s">
        <v>23</v>
      </c>
      <c r="O1" s="1" t="s">
        <v>20</v>
      </c>
      <c r="P1" t="s">
        <v>17</v>
      </c>
      <c r="Q1" t="s">
        <v>18</v>
      </c>
      <c r="R1" t="s">
        <v>19</v>
      </c>
      <c r="S1" t="s">
        <v>21</v>
      </c>
    </row>
    <row r="2" spans="1:22" x14ac:dyDescent="0.35">
      <c r="A2" t="s">
        <v>10</v>
      </c>
      <c r="B2">
        <v>1</v>
      </c>
      <c r="C2" s="2">
        <v>45441</v>
      </c>
      <c r="D2" t="s">
        <v>11</v>
      </c>
      <c r="F2">
        <v>0.67300000000000004</v>
      </c>
      <c r="G2">
        <f>F2*2</f>
        <v>1.3460000000000001</v>
      </c>
      <c r="H2">
        <f>2-G2</f>
        <v>0.65399999999999991</v>
      </c>
      <c r="I2">
        <f>H2*0.6</f>
        <v>0.39239999999999992</v>
      </c>
      <c r="J2">
        <f>G2+I2</f>
        <v>1.7383999999999999</v>
      </c>
      <c r="K2">
        <v>0.40379999999999999</v>
      </c>
      <c r="L2">
        <v>0.39465</v>
      </c>
      <c r="M2">
        <f t="shared" ref="M2:M11" si="0">N2-O2</f>
        <v>28.78</v>
      </c>
      <c r="N2" s="1">
        <v>36.96</v>
      </c>
      <c r="O2" s="1">
        <v>8.18</v>
      </c>
      <c r="P2">
        <f>M2*F2</f>
        <v>19.368940000000002</v>
      </c>
      <c r="Q2">
        <f>M2-P2</f>
        <v>9.4110599999999991</v>
      </c>
      <c r="R2">
        <f>Q2*0.6</f>
        <v>5.6466359999999991</v>
      </c>
      <c r="S2">
        <f t="shared" ref="S2:S11" si="1">R2+P2+O2</f>
        <v>33.195576000000003</v>
      </c>
      <c r="T2">
        <f>P2/(S2-O2)</f>
        <v>0.77427519558214453</v>
      </c>
      <c r="U2">
        <f>T2*2</f>
        <v>1.5485503911642891</v>
      </c>
      <c r="V2">
        <f>(2-U2)/20</f>
        <v>2.2572480441785548E-2</v>
      </c>
    </row>
    <row r="3" spans="1:22" x14ac:dyDescent="0.35">
      <c r="A3" t="s">
        <v>10</v>
      </c>
      <c r="B3">
        <v>1</v>
      </c>
      <c r="C3" s="2">
        <v>45441</v>
      </c>
      <c r="D3" t="s">
        <v>12</v>
      </c>
      <c r="F3">
        <v>0.80400000000000005</v>
      </c>
      <c r="G3">
        <f t="shared" ref="G3:G11" si="2">F3*2</f>
        <v>1.6080000000000001</v>
      </c>
      <c r="H3">
        <f t="shared" ref="H3:H11" si="3">2-G3</f>
        <v>0.3919999999999999</v>
      </c>
      <c r="I3">
        <f t="shared" ref="I3:I11" si="4">H3*0.6</f>
        <v>0.23519999999999994</v>
      </c>
      <c r="J3">
        <f t="shared" ref="J3:J11" si="5">G3+I3</f>
        <v>1.8431999999999999</v>
      </c>
      <c r="K3">
        <v>0.4824</v>
      </c>
      <c r="L3">
        <v>0.39434999999999998</v>
      </c>
      <c r="M3">
        <f t="shared" si="0"/>
        <v>46.120000000000005</v>
      </c>
      <c r="N3" s="1">
        <v>54.31</v>
      </c>
      <c r="O3" s="1">
        <v>8.19</v>
      </c>
      <c r="P3">
        <f t="shared" ref="P3:P11" si="6">M3*F3</f>
        <v>37.080480000000009</v>
      </c>
      <c r="Q3">
        <f t="shared" ref="Q3:Q11" si="7">M3-P3</f>
        <v>9.039519999999996</v>
      </c>
      <c r="R3">
        <f t="shared" ref="R3:R11" si="8">Q3*0.6</f>
        <v>5.4237119999999974</v>
      </c>
      <c r="S3">
        <f t="shared" si="1"/>
        <v>50.694192000000001</v>
      </c>
      <c r="T3">
        <f t="shared" ref="T3:T11" si="9">P3/(S3-O3)</f>
        <v>0.87239583333333348</v>
      </c>
      <c r="U3">
        <f t="shared" ref="U3:U11" si="10">T3*2</f>
        <v>1.744791666666667</v>
      </c>
      <c r="V3">
        <f t="shared" ref="V3:V11" si="11">(2-U3)/20</f>
        <v>1.2760416666666653E-2</v>
      </c>
    </row>
    <row r="4" spans="1:22" x14ac:dyDescent="0.35">
      <c r="A4" t="s">
        <v>10</v>
      </c>
      <c r="B4">
        <v>1</v>
      </c>
      <c r="C4" s="2">
        <v>45441</v>
      </c>
      <c r="D4" t="s">
        <v>13</v>
      </c>
      <c r="E4">
        <v>0.84399999999999997</v>
      </c>
      <c r="F4">
        <v>0.39500000000000002</v>
      </c>
      <c r="G4">
        <f t="shared" si="2"/>
        <v>0.79</v>
      </c>
      <c r="H4">
        <f t="shared" si="3"/>
        <v>1.21</v>
      </c>
      <c r="I4">
        <f t="shared" si="4"/>
        <v>0.72599999999999998</v>
      </c>
      <c r="J4">
        <f t="shared" si="5"/>
        <v>1.516</v>
      </c>
      <c r="K4">
        <v>0.23699999999999999</v>
      </c>
      <c r="L4">
        <v>0.25395000000000001</v>
      </c>
      <c r="M4">
        <f t="shared" si="0"/>
        <v>32.85</v>
      </c>
      <c r="N4" s="1">
        <v>41.03</v>
      </c>
      <c r="O4" s="1">
        <v>8.18</v>
      </c>
      <c r="P4">
        <f>M4*E4</f>
        <v>27.7254</v>
      </c>
      <c r="Q4">
        <f t="shared" si="7"/>
        <v>5.1246000000000009</v>
      </c>
      <c r="R4">
        <f>Q4</f>
        <v>5.1246000000000009</v>
      </c>
      <c r="S4">
        <f t="shared" si="1"/>
        <v>41.03</v>
      </c>
      <c r="T4">
        <f t="shared" si="9"/>
        <v>0.84399999999999997</v>
      </c>
      <c r="U4">
        <f t="shared" si="10"/>
        <v>1.6879999999999999</v>
      </c>
      <c r="V4">
        <f t="shared" si="11"/>
        <v>1.5600000000000003E-2</v>
      </c>
    </row>
    <row r="5" spans="1:22" x14ac:dyDescent="0.35">
      <c r="A5" t="s">
        <v>10</v>
      </c>
      <c r="B5">
        <v>1</v>
      </c>
      <c r="C5" s="2">
        <v>45441</v>
      </c>
      <c r="D5" t="s">
        <v>10</v>
      </c>
      <c r="F5">
        <v>0.57099999999999995</v>
      </c>
      <c r="G5">
        <f t="shared" si="2"/>
        <v>1.1419999999999999</v>
      </c>
      <c r="H5">
        <f t="shared" si="3"/>
        <v>0.8580000000000001</v>
      </c>
      <c r="I5">
        <f t="shared" si="4"/>
        <v>0.51480000000000004</v>
      </c>
      <c r="J5">
        <f t="shared" si="5"/>
        <v>1.6568000000000001</v>
      </c>
      <c r="K5">
        <v>0.34260000000000002</v>
      </c>
      <c r="L5">
        <v>0.38550000000000001</v>
      </c>
      <c r="M5">
        <f t="shared" si="0"/>
        <v>29.700000000000003</v>
      </c>
      <c r="N5" s="1">
        <v>38.1</v>
      </c>
      <c r="O5" s="1">
        <v>8.4</v>
      </c>
      <c r="P5">
        <f t="shared" si="6"/>
        <v>16.9587</v>
      </c>
      <c r="Q5">
        <f t="shared" si="7"/>
        <v>12.741300000000003</v>
      </c>
      <c r="R5">
        <f t="shared" si="8"/>
        <v>7.6447800000000008</v>
      </c>
      <c r="S5">
        <f t="shared" si="1"/>
        <v>33.003480000000003</v>
      </c>
      <c r="T5">
        <f t="shared" si="9"/>
        <v>0.68928054080154499</v>
      </c>
      <c r="U5">
        <f t="shared" si="10"/>
        <v>1.37856108160309</v>
      </c>
      <c r="V5">
        <f t="shared" si="11"/>
        <v>3.1071945919845502E-2</v>
      </c>
    </row>
    <row r="6" spans="1:22" x14ac:dyDescent="0.35">
      <c r="A6" t="s">
        <v>10</v>
      </c>
      <c r="B6">
        <v>1</v>
      </c>
      <c r="C6" s="2">
        <v>45441</v>
      </c>
      <c r="D6" t="s">
        <v>14</v>
      </c>
      <c r="F6">
        <v>0.95</v>
      </c>
      <c r="G6">
        <f t="shared" si="2"/>
        <v>1.9</v>
      </c>
      <c r="H6">
        <f t="shared" si="3"/>
        <v>0.10000000000000009</v>
      </c>
      <c r="I6">
        <f t="shared" si="4"/>
        <v>6.0000000000000053E-2</v>
      </c>
      <c r="J6">
        <f t="shared" si="5"/>
        <v>1.96</v>
      </c>
      <c r="K6">
        <v>0.56999999999999995</v>
      </c>
      <c r="L6">
        <v>0.54074999999999995</v>
      </c>
      <c r="M6">
        <f t="shared" si="0"/>
        <v>55.71</v>
      </c>
      <c r="N6" s="1">
        <v>64.11</v>
      </c>
      <c r="O6" s="1">
        <v>8.4</v>
      </c>
      <c r="P6">
        <f>M6*F6</f>
        <v>52.924500000000002</v>
      </c>
      <c r="Q6">
        <f t="shared" si="7"/>
        <v>2.785499999999999</v>
      </c>
      <c r="R6">
        <f t="shared" si="8"/>
        <v>1.6712999999999993</v>
      </c>
      <c r="S6">
        <f t="shared" si="1"/>
        <v>62.995800000000003</v>
      </c>
      <c r="T6">
        <f t="shared" si="9"/>
        <v>0.96938775510204078</v>
      </c>
      <c r="U6">
        <f t="shared" si="10"/>
        <v>1.9387755102040816</v>
      </c>
      <c r="V6">
        <f t="shared" si="11"/>
        <v>3.0612244897959217E-3</v>
      </c>
    </row>
    <row r="7" spans="1:22" x14ac:dyDescent="0.35">
      <c r="A7" t="s">
        <v>15</v>
      </c>
      <c r="B7">
        <v>1</v>
      </c>
      <c r="C7" s="2">
        <v>45441</v>
      </c>
      <c r="D7" t="s">
        <v>11</v>
      </c>
      <c r="F7">
        <v>0.65300000000000002</v>
      </c>
      <c r="G7">
        <f t="shared" si="2"/>
        <v>1.306</v>
      </c>
      <c r="H7">
        <f t="shared" si="3"/>
        <v>0.69399999999999995</v>
      </c>
      <c r="I7">
        <f t="shared" si="4"/>
        <v>0.41639999999999994</v>
      </c>
      <c r="J7">
        <f t="shared" si="5"/>
        <v>1.7223999999999999</v>
      </c>
      <c r="K7">
        <v>0.39179999999999998</v>
      </c>
      <c r="L7">
        <v>0.39884999999999998</v>
      </c>
      <c r="M7">
        <f t="shared" si="0"/>
        <v>54.730000000000004</v>
      </c>
      <c r="N7" s="1">
        <v>63.13</v>
      </c>
      <c r="O7" s="1">
        <v>8.4</v>
      </c>
      <c r="P7">
        <f t="shared" si="6"/>
        <v>35.738690000000005</v>
      </c>
      <c r="Q7">
        <f t="shared" si="7"/>
        <v>18.991309999999999</v>
      </c>
      <c r="R7">
        <f t="shared" si="8"/>
        <v>11.394785999999998</v>
      </c>
      <c r="S7">
        <f t="shared" si="1"/>
        <v>55.533476</v>
      </c>
      <c r="T7">
        <f t="shared" si="9"/>
        <v>0.75824431026474692</v>
      </c>
      <c r="U7">
        <f t="shared" si="10"/>
        <v>1.5164886205294938</v>
      </c>
      <c r="V7">
        <f t="shared" si="11"/>
        <v>2.4175568973525307E-2</v>
      </c>
    </row>
    <row r="8" spans="1:22" x14ac:dyDescent="0.35">
      <c r="A8" t="s">
        <v>15</v>
      </c>
      <c r="B8">
        <v>1</v>
      </c>
      <c r="C8" s="2">
        <v>45441</v>
      </c>
      <c r="D8" t="s">
        <v>12</v>
      </c>
      <c r="F8">
        <v>0.68400000000000005</v>
      </c>
      <c r="G8">
        <f t="shared" si="2"/>
        <v>1.3680000000000001</v>
      </c>
      <c r="H8">
        <f t="shared" si="3"/>
        <v>0.6319999999999999</v>
      </c>
      <c r="I8">
        <f t="shared" si="4"/>
        <v>0.37919999999999993</v>
      </c>
      <c r="J8">
        <f t="shared" si="5"/>
        <v>1.7472000000000001</v>
      </c>
      <c r="K8">
        <v>0.41039999999999999</v>
      </c>
      <c r="L8">
        <v>0.39434999999999998</v>
      </c>
      <c r="M8">
        <f t="shared" si="0"/>
        <v>15.540000000000001</v>
      </c>
      <c r="N8" s="1">
        <v>23.94</v>
      </c>
      <c r="O8" s="1">
        <v>8.4</v>
      </c>
      <c r="P8">
        <f t="shared" si="6"/>
        <v>10.629360000000002</v>
      </c>
      <c r="Q8">
        <f t="shared" si="7"/>
        <v>4.910639999999999</v>
      </c>
      <c r="R8">
        <f t="shared" si="8"/>
        <v>2.9463839999999992</v>
      </c>
      <c r="S8">
        <f t="shared" si="1"/>
        <v>21.975743999999999</v>
      </c>
      <c r="T8">
        <f t="shared" si="9"/>
        <v>0.78296703296703318</v>
      </c>
      <c r="U8">
        <f t="shared" si="10"/>
        <v>1.5659340659340664</v>
      </c>
      <c r="V8">
        <f t="shared" si="11"/>
        <v>2.1703296703296682E-2</v>
      </c>
    </row>
    <row r="9" spans="1:22" x14ac:dyDescent="0.35">
      <c r="A9" t="s">
        <v>15</v>
      </c>
      <c r="B9">
        <v>1</v>
      </c>
      <c r="C9" s="2">
        <v>45441</v>
      </c>
      <c r="D9" t="s">
        <v>13</v>
      </c>
      <c r="E9">
        <v>0.85299999999999998</v>
      </c>
      <c r="F9">
        <v>0.52700000000000002</v>
      </c>
      <c r="G9">
        <f t="shared" si="2"/>
        <v>1.054</v>
      </c>
      <c r="H9">
        <f t="shared" si="3"/>
        <v>0.94599999999999995</v>
      </c>
      <c r="I9">
        <f t="shared" si="4"/>
        <v>0.56759999999999999</v>
      </c>
      <c r="J9">
        <f t="shared" si="5"/>
        <v>1.6215999999999999</v>
      </c>
      <c r="K9">
        <v>0.31619999999999998</v>
      </c>
      <c r="L9">
        <v>0.32129999999999997</v>
      </c>
      <c r="M9">
        <f t="shared" si="0"/>
        <v>33.790000000000006</v>
      </c>
      <c r="N9" s="1">
        <v>42.06</v>
      </c>
      <c r="O9" s="1">
        <v>8.27</v>
      </c>
      <c r="P9">
        <f>M9*E9</f>
        <v>28.822870000000005</v>
      </c>
      <c r="Q9">
        <f t="shared" si="7"/>
        <v>4.9671300000000009</v>
      </c>
      <c r="R9">
        <f>Q9</f>
        <v>4.9671300000000009</v>
      </c>
      <c r="S9">
        <f t="shared" si="1"/>
        <v>42.06</v>
      </c>
      <c r="T9">
        <f t="shared" si="9"/>
        <v>0.85299999999999998</v>
      </c>
      <c r="U9">
        <f t="shared" si="10"/>
        <v>1.706</v>
      </c>
      <c r="V9">
        <f t="shared" si="11"/>
        <v>1.4700000000000001E-2</v>
      </c>
    </row>
    <row r="10" spans="1:22" x14ac:dyDescent="0.35">
      <c r="A10" t="s">
        <v>15</v>
      </c>
      <c r="B10">
        <v>1</v>
      </c>
      <c r="C10" s="2">
        <v>45441</v>
      </c>
      <c r="D10" t="s">
        <v>10</v>
      </c>
      <c r="F10">
        <v>0.63500000000000001</v>
      </c>
      <c r="G10">
        <f t="shared" si="2"/>
        <v>1.27</v>
      </c>
      <c r="H10">
        <f t="shared" si="3"/>
        <v>0.73</v>
      </c>
      <c r="I10">
        <f t="shared" si="4"/>
        <v>0.438</v>
      </c>
      <c r="J10">
        <f t="shared" si="5"/>
        <v>1.708</v>
      </c>
      <c r="K10">
        <v>0.38100000000000001</v>
      </c>
      <c r="L10">
        <v>0.42104999999999998</v>
      </c>
      <c r="M10">
        <f t="shared" si="0"/>
        <v>32.39</v>
      </c>
      <c r="N10" s="1">
        <v>40.56</v>
      </c>
      <c r="O10" s="1">
        <v>8.17</v>
      </c>
      <c r="P10">
        <f t="shared" si="6"/>
        <v>20.56765</v>
      </c>
      <c r="Q10">
        <f t="shared" si="7"/>
        <v>11.82235</v>
      </c>
      <c r="R10">
        <f t="shared" si="8"/>
        <v>7.0934099999999995</v>
      </c>
      <c r="S10">
        <f t="shared" si="1"/>
        <v>35.831060000000001</v>
      </c>
      <c r="T10">
        <f t="shared" si="9"/>
        <v>0.74355971896955508</v>
      </c>
      <c r="U10">
        <f t="shared" si="10"/>
        <v>1.4871194379391102</v>
      </c>
      <c r="V10">
        <f t="shared" si="11"/>
        <v>2.5644028103044492E-2</v>
      </c>
    </row>
    <row r="11" spans="1:22" x14ac:dyDescent="0.35">
      <c r="A11" t="s">
        <v>15</v>
      </c>
      <c r="B11">
        <v>1</v>
      </c>
      <c r="C11" s="2">
        <v>45441</v>
      </c>
      <c r="D11" t="s">
        <v>14</v>
      </c>
      <c r="F11">
        <v>0.90700000000000003</v>
      </c>
      <c r="G11">
        <f t="shared" si="2"/>
        <v>1.8140000000000001</v>
      </c>
      <c r="H11">
        <f t="shared" si="3"/>
        <v>0.18599999999999994</v>
      </c>
      <c r="I11">
        <f t="shared" si="4"/>
        <v>0.11159999999999996</v>
      </c>
      <c r="J11">
        <f t="shared" si="5"/>
        <v>1.9256</v>
      </c>
      <c r="K11">
        <v>0.54420000000000002</v>
      </c>
      <c r="L11">
        <v>0.52875000000000005</v>
      </c>
      <c r="M11">
        <f t="shared" si="0"/>
        <v>30.75</v>
      </c>
      <c r="N11" s="1">
        <v>39.01</v>
      </c>
      <c r="O11" s="1">
        <v>8.26</v>
      </c>
      <c r="P11">
        <f t="shared" si="6"/>
        <v>27.890250000000002</v>
      </c>
      <c r="Q11">
        <f t="shared" si="7"/>
        <v>2.8597499999999982</v>
      </c>
      <c r="R11">
        <f t="shared" si="8"/>
        <v>1.715849999999999</v>
      </c>
      <c r="S11">
        <f t="shared" si="1"/>
        <v>37.866100000000003</v>
      </c>
      <c r="T11">
        <f t="shared" si="9"/>
        <v>0.94204403822185279</v>
      </c>
      <c r="U11">
        <f t="shared" si="10"/>
        <v>1.8840880764437056</v>
      </c>
      <c r="V11">
        <f t="shared" si="11"/>
        <v>5.7955961778147214E-3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McMillan</dc:creator>
  <cp:lastModifiedBy>Cameron McMillan</cp:lastModifiedBy>
  <dcterms:created xsi:type="dcterms:W3CDTF">2024-05-29T15:27:28Z</dcterms:created>
  <dcterms:modified xsi:type="dcterms:W3CDTF">2024-06-04T14:01:51Z</dcterms:modified>
</cp:coreProperties>
</file>