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davis365-my.sharepoint.com/personal/cmcmillan_ucdavis_edu/Documents/Documents/Github/CUE-UCD/Data/"/>
    </mc:Choice>
  </mc:AlternateContent>
  <xr:revisionPtr revIDLastSave="166" documentId="8_{2F3A0254-E365-4360-9137-E2295C9B4250}" xr6:coauthVersionLast="47" xr6:coauthVersionMax="47" xr10:uidLastSave="{027034DA-4E06-47E2-8CBF-E4A4114BF99D}"/>
  <bookViews>
    <workbookView xWindow="-28920" yWindow="1635" windowWidth="29040" windowHeight="15720" xr2:uid="{6EE7651C-E92C-4559-897D-C7BEB2EE0E85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1" l="1"/>
  <c r="Q12" i="1"/>
  <c r="R12" i="1"/>
  <c r="S12" i="1" s="1"/>
  <c r="T12" i="1" s="1"/>
  <c r="U12" i="1" s="1"/>
  <c r="V12" i="1" s="1"/>
  <c r="W12" i="1" s="1"/>
  <c r="P13" i="1"/>
  <c r="Q13" i="1"/>
  <c r="R13" i="1" s="1"/>
  <c r="S13" i="1" s="1"/>
  <c r="P14" i="1"/>
  <c r="Q14" i="1"/>
  <c r="R14" i="1" s="1"/>
  <c r="S14" i="1" s="1"/>
  <c r="T14" i="1" s="1"/>
  <c r="U14" i="1" s="1"/>
  <c r="V14" i="1" s="1"/>
  <c r="W14" i="1" s="1"/>
  <c r="P15" i="1"/>
  <c r="Q15" i="1"/>
  <c r="R15" i="1"/>
  <c r="S15" i="1" s="1"/>
  <c r="T15" i="1" s="1"/>
  <c r="U15" i="1" s="1"/>
  <c r="V15" i="1" s="1"/>
  <c r="W15" i="1" s="1"/>
  <c r="P16" i="1"/>
  <c r="Q16" i="1"/>
  <c r="R16" i="1" s="1"/>
  <c r="S16" i="1" s="1"/>
  <c r="P17" i="1"/>
  <c r="Q17" i="1"/>
  <c r="R17" i="1" s="1"/>
  <c r="S17" i="1" s="1"/>
  <c r="T17" i="1" s="1"/>
  <c r="U17" i="1" s="1"/>
  <c r="V17" i="1" s="1"/>
  <c r="W17" i="1" s="1"/>
  <c r="P18" i="1"/>
  <c r="Q18" i="1"/>
  <c r="R18" i="1"/>
  <c r="S18" i="1" s="1"/>
  <c r="T18" i="1" s="1"/>
  <c r="U18" i="1" s="1"/>
  <c r="V18" i="1" s="1"/>
  <c r="W18" i="1" s="1"/>
  <c r="P19" i="1"/>
  <c r="Q19" i="1"/>
  <c r="R19" i="1" s="1"/>
  <c r="S19" i="1" s="1"/>
  <c r="P20" i="1"/>
  <c r="Q20" i="1"/>
  <c r="R20" i="1" s="1"/>
  <c r="S20" i="1" s="1"/>
  <c r="T20" i="1" s="1"/>
  <c r="U20" i="1" s="1"/>
  <c r="V20" i="1" s="1"/>
  <c r="W20" i="1" s="1"/>
  <c r="P21" i="1"/>
  <c r="Q21" i="1"/>
  <c r="R21" i="1"/>
  <c r="S21" i="1" s="1"/>
  <c r="T21" i="1" s="1"/>
  <c r="U21" i="1" s="1"/>
  <c r="V21" i="1" s="1"/>
  <c r="W21" i="1" s="1"/>
  <c r="P22" i="1"/>
  <c r="Q22" i="1"/>
  <c r="R22" i="1" s="1"/>
  <c r="S22" i="1" s="1"/>
  <c r="P23" i="1"/>
  <c r="Q23" i="1"/>
  <c r="R23" i="1" s="1"/>
  <c r="S23" i="1" s="1"/>
  <c r="T23" i="1" s="1"/>
  <c r="U23" i="1" s="1"/>
  <c r="V23" i="1" s="1"/>
  <c r="W23" i="1" s="1"/>
  <c r="P24" i="1"/>
  <c r="Q24" i="1"/>
  <c r="R24" i="1"/>
  <c r="S24" i="1" s="1"/>
  <c r="T24" i="1" s="1"/>
  <c r="U24" i="1" s="1"/>
  <c r="V24" i="1" s="1"/>
  <c r="W24" i="1" s="1"/>
  <c r="P25" i="1"/>
  <c r="Q25" i="1"/>
  <c r="R25" i="1" s="1"/>
  <c r="S25" i="1" s="1"/>
  <c r="P26" i="1"/>
  <c r="Q26" i="1"/>
  <c r="R26" i="1" s="1"/>
  <c r="S26" i="1" s="1"/>
  <c r="T26" i="1" s="1"/>
  <c r="U26" i="1" s="1"/>
  <c r="V26" i="1" s="1"/>
  <c r="W26" i="1" s="1"/>
  <c r="P27" i="1"/>
  <c r="Q27" i="1"/>
  <c r="R27" i="1"/>
  <c r="S27" i="1" s="1"/>
  <c r="T27" i="1" s="1"/>
  <c r="U27" i="1" s="1"/>
  <c r="V27" i="1" s="1"/>
  <c r="W27" i="1" s="1"/>
  <c r="P28" i="1"/>
  <c r="T28" i="1" s="1"/>
  <c r="U28" i="1" s="1"/>
  <c r="V28" i="1" s="1"/>
  <c r="W28" i="1" s="1"/>
  <c r="Q28" i="1"/>
  <c r="R28" i="1" s="1"/>
  <c r="S28" i="1" s="1"/>
  <c r="P29" i="1"/>
  <c r="Q29" i="1"/>
  <c r="R29" i="1" s="1"/>
  <c r="S29" i="1" s="1"/>
  <c r="T29" i="1" s="1"/>
  <c r="U29" i="1" s="1"/>
  <c r="V29" i="1" s="1"/>
  <c r="W29" i="1" s="1"/>
  <c r="P30" i="1"/>
  <c r="Q30" i="1"/>
  <c r="R30" i="1"/>
  <c r="S30" i="1" s="1"/>
  <c r="T30" i="1" s="1"/>
  <c r="U30" i="1" s="1"/>
  <c r="V30" i="1" s="1"/>
  <c r="W30" i="1" s="1"/>
  <c r="P31" i="1"/>
  <c r="Q31" i="1"/>
  <c r="R31" i="1" s="1"/>
  <c r="S31" i="1" s="1"/>
  <c r="P32" i="1"/>
  <c r="Q32" i="1"/>
  <c r="R32" i="1" s="1"/>
  <c r="S32" i="1" s="1"/>
  <c r="T32" i="1" s="1"/>
  <c r="U32" i="1" s="1"/>
  <c r="V32" i="1" s="1"/>
  <c r="W32" i="1" s="1"/>
  <c r="P33" i="1"/>
  <c r="Q33" i="1"/>
  <c r="R33" i="1"/>
  <c r="S33" i="1" s="1"/>
  <c r="T33" i="1" s="1"/>
  <c r="U33" i="1" s="1"/>
  <c r="V33" i="1" s="1"/>
  <c r="W33" i="1" s="1"/>
  <c r="P34" i="1"/>
  <c r="Q34" i="1"/>
  <c r="R34" i="1" s="1"/>
  <c r="S34" i="1" s="1"/>
  <c r="P35" i="1"/>
  <c r="Q35" i="1"/>
  <c r="R35" i="1" s="1"/>
  <c r="S35" i="1" s="1"/>
  <c r="T35" i="1" s="1"/>
  <c r="U35" i="1" s="1"/>
  <c r="V35" i="1" s="1"/>
  <c r="W35" i="1" s="1"/>
  <c r="P36" i="1"/>
  <c r="Q36" i="1"/>
  <c r="R36" i="1"/>
  <c r="S36" i="1" s="1"/>
  <c r="T36" i="1" s="1"/>
  <c r="U36" i="1" s="1"/>
  <c r="V36" i="1" s="1"/>
  <c r="W36" i="1" s="1"/>
  <c r="P37" i="1"/>
  <c r="T37" i="1" s="1"/>
  <c r="U37" i="1" s="1"/>
  <c r="V37" i="1" s="1"/>
  <c r="W37" i="1" s="1"/>
  <c r="Q37" i="1"/>
  <c r="R37" i="1" s="1"/>
  <c r="S37" i="1" s="1"/>
  <c r="P38" i="1"/>
  <c r="Q38" i="1"/>
  <c r="R38" i="1" s="1"/>
  <c r="S38" i="1" s="1"/>
  <c r="T38" i="1" s="1"/>
  <c r="U38" i="1" s="1"/>
  <c r="V38" i="1" s="1"/>
  <c r="W38" i="1" s="1"/>
  <c r="P39" i="1"/>
  <c r="Q39" i="1"/>
  <c r="R39" i="1"/>
  <c r="S39" i="1" s="1"/>
  <c r="T39" i="1" s="1"/>
  <c r="U39" i="1" s="1"/>
  <c r="V39" i="1" s="1"/>
  <c r="W39" i="1" s="1"/>
  <c r="P40" i="1"/>
  <c r="Q40" i="1"/>
  <c r="R40" i="1" s="1"/>
  <c r="S40" i="1" s="1"/>
  <c r="P41" i="1"/>
  <c r="Q41" i="1"/>
  <c r="R41" i="1" s="1"/>
  <c r="S41" i="1" s="1"/>
  <c r="T41" i="1" s="1"/>
  <c r="U41" i="1" s="1"/>
  <c r="V41" i="1" s="1"/>
  <c r="W41" i="1" s="1"/>
  <c r="P42" i="1"/>
  <c r="Q42" i="1"/>
  <c r="R42" i="1"/>
  <c r="S42" i="1" s="1"/>
  <c r="T42" i="1" s="1"/>
  <c r="U42" i="1" s="1"/>
  <c r="V42" i="1" s="1"/>
  <c r="W42" i="1" s="1"/>
  <c r="P43" i="1"/>
  <c r="Q43" i="1"/>
  <c r="R43" i="1" s="1"/>
  <c r="S43" i="1" s="1"/>
  <c r="P44" i="1"/>
  <c r="Q44" i="1"/>
  <c r="R44" i="1" s="1"/>
  <c r="S44" i="1" s="1"/>
  <c r="T44" i="1" s="1"/>
  <c r="U44" i="1" s="1"/>
  <c r="V44" i="1" s="1"/>
  <c r="W44" i="1" s="1"/>
  <c r="P45" i="1"/>
  <c r="Q45" i="1"/>
  <c r="R45" i="1"/>
  <c r="S45" i="1" s="1"/>
  <c r="T45" i="1" s="1"/>
  <c r="U45" i="1" s="1"/>
  <c r="V45" i="1" s="1"/>
  <c r="W45" i="1" s="1"/>
  <c r="P46" i="1"/>
  <c r="Q46" i="1"/>
  <c r="R46" i="1" s="1"/>
  <c r="S46" i="1" s="1"/>
  <c r="P47" i="1"/>
  <c r="Q47" i="1"/>
  <c r="R47" i="1" s="1"/>
  <c r="S47" i="1" s="1"/>
  <c r="T47" i="1" s="1"/>
  <c r="U47" i="1" s="1"/>
  <c r="V47" i="1" s="1"/>
  <c r="W47" i="1" s="1"/>
  <c r="P48" i="1"/>
  <c r="Q48" i="1"/>
  <c r="R48" i="1"/>
  <c r="S48" i="1" s="1"/>
  <c r="T48" i="1" s="1"/>
  <c r="U48" i="1" s="1"/>
  <c r="V48" i="1" s="1"/>
  <c r="W48" i="1" s="1"/>
  <c r="P49" i="1"/>
  <c r="Q49" i="1"/>
  <c r="R49" i="1" s="1"/>
  <c r="S49" i="1" s="1"/>
  <c r="P50" i="1"/>
  <c r="Q50" i="1"/>
  <c r="R50" i="1" s="1"/>
  <c r="S50" i="1" s="1"/>
  <c r="T50" i="1" s="1"/>
  <c r="U50" i="1" s="1"/>
  <c r="V50" i="1" s="1"/>
  <c r="W50" i="1" s="1"/>
  <c r="P51" i="1"/>
  <c r="Q51" i="1"/>
  <c r="R51" i="1"/>
  <c r="S51" i="1" s="1"/>
  <c r="T51" i="1" s="1"/>
  <c r="U51" i="1" s="1"/>
  <c r="V51" i="1" s="1"/>
  <c r="W51" i="1" s="1"/>
  <c r="P52" i="1"/>
  <c r="Q52" i="1"/>
  <c r="R52" i="1" s="1"/>
  <c r="S52" i="1" s="1"/>
  <c r="P53" i="1"/>
  <c r="Q53" i="1"/>
  <c r="R53" i="1" s="1"/>
  <c r="S53" i="1" s="1"/>
  <c r="T53" i="1" s="1"/>
  <c r="U53" i="1" s="1"/>
  <c r="V53" i="1" s="1"/>
  <c r="W53" i="1" s="1"/>
  <c r="P54" i="1"/>
  <c r="Q54" i="1"/>
  <c r="R54" i="1"/>
  <c r="S54" i="1" s="1"/>
  <c r="T54" i="1" s="1"/>
  <c r="U54" i="1" s="1"/>
  <c r="V54" i="1" s="1"/>
  <c r="W54" i="1" s="1"/>
  <c r="P55" i="1"/>
  <c r="Q55" i="1"/>
  <c r="R55" i="1" s="1"/>
  <c r="S55" i="1" s="1"/>
  <c r="P56" i="1"/>
  <c r="Q56" i="1"/>
  <c r="R56" i="1" s="1"/>
  <c r="S56" i="1" s="1"/>
  <c r="T56" i="1" s="1"/>
  <c r="U56" i="1" s="1"/>
  <c r="V56" i="1" s="1"/>
  <c r="W56" i="1" s="1"/>
  <c r="P57" i="1"/>
  <c r="Q57" i="1"/>
  <c r="R57" i="1"/>
  <c r="S57" i="1" s="1"/>
  <c r="T57" i="1" s="1"/>
  <c r="U57" i="1" s="1"/>
  <c r="V57" i="1" s="1"/>
  <c r="W57" i="1" s="1"/>
  <c r="P58" i="1"/>
  <c r="Q58" i="1"/>
  <c r="R58" i="1" s="1"/>
  <c r="S58" i="1" s="1"/>
  <c r="P59" i="1"/>
  <c r="Q59" i="1"/>
  <c r="R59" i="1"/>
  <c r="S59" i="1" s="1"/>
  <c r="T59" i="1" s="1"/>
  <c r="U59" i="1" s="1"/>
  <c r="V59" i="1" s="1"/>
  <c r="W59" i="1" s="1"/>
  <c r="P60" i="1"/>
  <c r="Q60" i="1"/>
  <c r="R60" i="1"/>
  <c r="S60" i="1" s="1"/>
  <c r="T60" i="1" s="1"/>
  <c r="U60" i="1" s="1"/>
  <c r="V60" i="1" s="1"/>
  <c r="W60" i="1" s="1"/>
  <c r="P61" i="1"/>
  <c r="Q61" i="1"/>
  <c r="R61" i="1" s="1"/>
  <c r="S61" i="1" s="1"/>
  <c r="P62" i="1"/>
  <c r="Q62" i="1"/>
  <c r="R62" i="1"/>
  <c r="S62" i="1" s="1"/>
  <c r="T62" i="1" s="1"/>
  <c r="U62" i="1" s="1"/>
  <c r="V62" i="1" s="1"/>
  <c r="W62" i="1" s="1"/>
  <c r="P63" i="1"/>
  <c r="Q63" i="1"/>
  <c r="R63" i="1"/>
  <c r="S63" i="1" s="1"/>
  <c r="T63" i="1" s="1"/>
  <c r="U63" i="1" s="1"/>
  <c r="V63" i="1" s="1"/>
  <c r="W63" i="1" s="1"/>
  <c r="P64" i="1"/>
  <c r="Q64" i="1"/>
  <c r="R64" i="1" s="1"/>
  <c r="S64" i="1" s="1"/>
  <c r="P65" i="1"/>
  <c r="Q65" i="1"/>
  <c r="R65" i="1"/>
  <c r="S65" i="1" s="1"/>
  <c r="T65" i="1" s="1"/>
  <c r="U65" i="1" s="1"/>
  <c r="V65" i="1" s="1"/>
  <c r="W65" i="1" s="1"/>
  <c r="P66" i="1"/>
  <c r="Q66" i="1"/>
  <c r="R66" i="1"/>
  <c r="S66" i="1" s="1"/>
  <c r="T66" i="1" s="1"/>
  <c r="U66" i="1" s="1"/>
  <c r="V66" i="1" s="1"/>
  <c r="W66" i="1" s="1"/>
  <c r="P67" i="1"/>
  <c r="Q67" i="1"/>
  <c r="R67" i="1" s="1"/>
  <c r="S67" i="1" s="1"/>
  <c r="P68" i="1"/>
  <c r="Q68" i="1"/>
  <c r="R68" i="1"/>
  <c r="S68" i="1" s="1"/>
  <c r="T68" i="1" s="1"/>
  <c r="U68" i="1" s="1"/>
  <c r="V68" i="1" s="1"/>
  <c r="W68" i="1" s="1"/>
  <c r="P69" i="1"/>
  <c r="Q69" i="1"/>
  <c r="R69" i="1"/>
  <c r="S69" i="1" s="1"/>
  <c r="T69" i="1" s="1"/>
  <c r="U69" i="1" s="1"/>
  <c r="V69" i="1" s="1"/>
  <c r="W69" i="1" s="1"/>
  <c r="P70" i="1"/>
  <c r="Q70" i="1"/>
  <c r="R70" i="1" s="1"/>
  <c r="S70" i="1" s="1"/>
  <c r="P71" i="1"/>
  <c r="Q71" i="1"/>
  <c r="R71" i="1"/>
  <c r="S71" i="1" s="1"/>
  <c r="T71" i="1" s="1"/>
  <c r="U71" i="1" s="1"/>
  <c r="V71" i="1" s="1"/>
  <c r="W71" i="1" s="1"/>
  <c r="P72" i="1"/>
  <c r="Q72" i="1"/>
  <c r="R72" i="1"/>
  <c r="S72" i="1" s="1"/>
  <c r="T72" i="1" s="1"/>
  <c r="U72" i="1" s="1"/>
  <c r="V72" i="1" s="1"/>
  <c r="W72" i="1" s="1"/>
  <c r="P73" i="1"/>
  <c r="Q73" i="1"/>
  <c r="R73" i="1" s="1"/>
  <c r="S73" i="1" s="1"/>
  <c r="P74" i="1"/>
  <c r="Q74" i="1"/>
  <c r="R74" i="1"/>
  <c r="S74" i="1" s="1"/>
  <c r="T74" i="1" s="1"/>
  <c r="U74" i="1" s="1"/>
  <c r="V74" i="1" s="1"/>
  <c r="W74" i="1" s="1"/>
  <c r="P75" i="1"/>
  <c r="Q75" i="1"/>
  <c r="R75" i="1"/>
  <c r="S75" i="1" s="1"/>
  <c r="T75" i="1" s="1"/>
  <c r="U75" i="1" s="1"/>
  <c r="V75" i="1" s="1"/>
  <c r="W75" i="1" s="1"/>
  <c r="P76" i="1"/>
  <c r="T76" i="1" s="1"/>
  <c r="U76" i="1" s="1"/>
  <c r="V76" i="1" s="1"/>
  <c r="W76" i="1" s="1"/>
  <c r="Q76" i="1"/>
  <c r="R76" i="1" s="1"/>
  <c r="S76" i="1" s="1"/>
  <c r="P77" i="1"/>
  <c r="Q77" i="1"/>
  <c r="R77" i="1"/>
  <c r="S77" i="1"/>
  <c r="T77" i="1"/>
  <c r="U77" i="1"/>
  <c r="V77" i="1" s="1"/>
  <c r="W77" i="1" s="1"/>
  <c r="P78" i="1"/>
  <c r="Q78" i="1"/>
  <c r="R78" i="1"/>
  <c r="S78" i="1" s="1"/>
  <c r="T78" i="1" s="1"/>
  <c r="U78" i="1" s="1"/>
  <c r="V78" i="1" s="1"/>
  <c r="W78" i="1" s="1"/>
  <c r="P79" i="1"/>
  <c r="T79" i="1" s="1"/>
  <c r="U79" i="1" s="1"/>
  <c r="V79" i="1" s="1"/>
  <c r="W79" i="1" s="1"/>
  <c r="Q79" i="1"/>
  <c r="R79" i="1" s="1"/>
  <c r="S79" i="1" s="1"/>
  <c r="P80" i="1"/>
  <c r="Q80" i="1"/>
  <c r="R80" i="1"/>
  <c r="S80" i="1"/>
  <c r="T80" i="1"/>
  <c r="U80" i="1"/>
  <c r="V80" i="1" s="1"/>
  <c r="W80" i="1" s="1"/>
  <c r="P81" i="1"/>
  <c r="Q81" i="1"/>
  <c r="R81" i="1"/>
  <c r="S81" i="1"/>
  <c r="T81" i="1"/>
  <c r="U81" i="1" s="1"/>
  <c r="V81" i="1" s="1"/>
  <c r="W81" i="1" s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G22" i="1"/>
  <c r="H22" i="1" s="1"/>
  <c r="I22" i="1" s="1"/>
  <c r="J22" i="1" s="1"/>
  <c r="G23" i="1"/>
  <c r="H23" i="1"/>
  <c r="I23" i="1" s="1"/>
  <c r="J23" i="1" s="1"/>
  <c r="G24" i="1"/>
  <c r="J24" i="1" s="1"/>
  <c r="H24" i="1"/>
  <c r="I24" i="1"/>
  <c r="G25" i="1"/>
  <c r="H25" i="1" s="1"/>
  <c r="I25" i="1" s="1"/>
  <c r="G26" i="1"/>
  <c r="H26" i="1"/>
  <c r="I26" i="1" s="1"/>
  <c r="J26" i="1" s="1"/>
  <c r="G27" i="1"/>
  <c r="H27" i="1"/>
  <c r="I27" i="1"/>
  <c r="J27" i="1"/>
  <c r="G28" i="1"/>
  <c r="H28" i="1" s="1"/>
  <c r="I28" i="1" s="1"/>
  <c r="J28" i="1" s="1"/>
  <c r="G29" i="1"/>
  <c r="H29" i="1" s="1"/>
  <c r="I29" i="1" s="1"/>
  <c r="G30" i="1"/>
  <c r="H30" i="1" s="1"/>
  <c r="I30" i="1" s="1"/>
  <c r="J30" i="1" s="1"/>
  <c r="G31" i="1"/>
  <c r="H31" i="1"/>
  <c r="I31" i="1" s="1"/>
  <c r="J31" i="1" s="1"/>
  <c r="G32" i="1"/>
  <c r="H32" i="1" s="1"/>
  <c r="I32" i="1" s="1"/>
  <c r="J32" i="1" s="1"/>
  <c r="G33" i="1"/>
  <c r="H33" i="1" s="1"/>
  <c r="I33" i="1" s="1"/>
  <c r="G34" i="1"/>
  <c r="H34" i="1"/>
  <c r="I34" i="1" s="1"/>
  <c r="J34" i="1"/>
  <c r="G35" i="1"/>
  <c r="H35" i="1" s="1"/>
  <c r="I35" i="1" s="1"/>
  <c r="J35" i="1" s="1"/>
  <c r="G36" i="1"/>
  <c r="H36" i="1"/>
  <c r="I36" i="1" s="1"/>
  <c r="G37" i="1"/>
  <c r="H37" i="1"/>
  <c r="I37" i="1" s="1"/>
  <c r="J37" i="1" s="1"/>
  <c r="G38" i="1"/>
  <c r="H38" i="1" s="1"/>
  <c r="I38" i="1" s="1"/>
  <c r="J38" i="1" s="1"/>
  <c r="G39" i="1"/>
  <c r="H39" i="1"/>
  <c r="I39" i="1"/>
  <c r="J39" i="1" s="1"/>
  <c r="G40" i="1"/>
  <c r="H40" i="1"/>
  <c r="I40" i="1" s="1"/>
  <c r="J40" i="1"/>
  <c r="G41" i="1"/>
  <c r="H41" i="1"/>
  <c r="I41" i="1" s="1"/>
  <c r="J41" i="1" s="1"/>
  <c r="G42" i="1"/>
  <c r="H42" i="1" s="1"/>
  <c r="I42" i="1" s="1"/>
  <c r="J42" i="1" s="1"/>
  <c r="G43" i="1"/>
  <c r="H43" i="1"/>
  <c r="I43" i="1" s="1"/>
  <c r="J43" i="1"/>
  <c r="G44" i="1"/>
  <c r="H44" i="1"/>
  <c r="I44" i="1" s="1"/>
  <c r="J44" i="1" s="1"/>
  <c r="G45" i="1"/>
  <c r="H45" i="1" s="1"/>
  <c r="I45" i="1" s="1"/>
  <c r="J45" i="1" s="1"/>
  <c r="G46" i="1"/>
  <c r="H46" i="1" s="1"/>
  <c r="I46" i="1" s="1"/>
  <c r="J46" i="1" s="1"/>
  <c r="G47" i="1"/>
  <c r="H47" i="1"/>
  <c r="I47" i="1"/>
  <c r="J47" i="1"/>
  <c r="G48" i="1"/>
  <c r="G49" i="1"/>
  <c r="H49" i="1" s="1"/>
  <c r="I49" i="1" s="1"/>
  <c r="J49" i="1" s="1"/>
  <c r="G50" i="1"/>
  <c r="H50" i="1" s="1"/>
  <c r="I50" i="1" s="1"/>
  <c r="G51" i="1"/>
  <c r="G52" i="1"/>
  <c r="H52" i="1"/>
  <c r="I52" i="1" s="1"/>
  <c r="J52" i="1"/>
  <c r="G53" i="1"/>
  <c r="H53" i="1" s="1"/>
  <c r="I53" i="1" s="1"/>
  <c r="G54" i="1"/>
  <c r="H54" i="1" s="1"/>
  <c r="I54" i="1" s="1"/>
  <c r="G55" i="1"/>
  <c r="H55" i="1"/>
  <c r="I55" i="1" s="1"/>
  <c r="J55" i="1"/>
  <c r="G56" i="1"/>
  <c r="H56" i="1"/>
  <c r="I56" i="1"/>
  <c r="J56" i="1"/>
  <c r="G57" i="1"/>
  <c r="H57" i="1"/>
  <c r="I57" i="1"/>
  <c r="G58" i="1"/>
  <c r="H58" i="1" s="1"/>
  <c r="I58" i="1" s="1"/>
  <c r="J58" i="1" s="1"/>
  <c r="G59" i="1"/>
  <c r="H59" i="1"/>
  <c r="I59" i="1" s="1"/>
  <c r="J59" i="1" s="1"/>
  <c r="G60" i="1"/>
  <c r="H60" i="1"/>
  <c r="I60" i="1"/>
  <c r="J60" i="1"/>
  <c r="G61" i="1"/>
  <c r="H61" i="1" s="1"/>
  <c r="I61" i="1" s="1"/>
  <c r="G62" i="1"/>
  <c r="H62" i="1"/>
  <c r="I62" i="1"/>
  <c r="J62" i="1" s="1"/>
  <c r="G63" i="1"/>
  <c r="H63" i="1"/>
  <c r="I63" i="1" s="1"/>
  <c r="G64" i="1"/>
  <c r="H64" i="1"/>
  <c r="I64" i="1" s="1"/>
  <c r="J64" i="1" s="1"/>
  <c r="G65" i="1"/>
  <c r="H65" i="1"/>
  <c r="I65" i="1"/>
  <c r="J65" i="1"/>
  <c r="G66" i="1"/>
  <c r="H66" i="1"/>
  <c r="I66" i="1"/>
  <c r="J66" i="1"/>
  <c r="G67" i="1"/>
  <c r="H67" i="1"/>
  <c r="I67" i="1" s="1"/>
  <c r="J67" i="1" s="1"/>
  <c r="G68" i="1"/>
  <c r="H68" i="1"/>
  <c r="I68" i="1" s="1"/>
  <c r="J68" i="1" s="1"/>
  <c r="G69" i="1"/>
  <c r="H69" i="1" s="1"/>
  <c r="I69" i="1" s="1"/>
  <c r="G70" i="1"/>
  <c r="H70" i="1"/>
  <c r="I70" i="1" s="1"/>
  <c r="J70" i="1"/>
  <c r="G71" i="1"/>
  <c r="H71" i="1"/>
  <c r="I71" i="1"/>
  <c r="J71" i="1" s="1"/>
  <c r="G72" i="1"/>
  <c r="H72" i="1"/>
  <c r="I72" i="1" s="1"/>
  <c r="G73" i="1"/>
  <c r="H73" i="1" s="1"/>
  <c r="I73" i="1" s="1"/>
  <c r="G74" i="1"/>
  <c r="H74" i="1"/>
  <c r="I74" i="1" s="1"/>
  <c r="J74" i="1" s="1"/>
  <c r="G75" i="1"/>
  <c r="H75" i="1"/>
  <c r="I75" i="1"/>
  <c r="J75" i="1" s="1"/>
  <c r="G76" i="1"/>
  <c r="H76" i="1"/>
  <c r="I76" i="1" s="1"/>
  <c r="J76" i="1"/>
  <c r="G77" i="1"/>
  <c r="H77" i="1"/>
  <c r="I77" i="1" s="1"/>
  <c r="J77" i="1" s="1"/>
  <c r="G78" i="1"/>
  <c r="H78" i="1" s="1"/>
  <c r="I78" i="1" s="1"/>
  <c r="J78" i="1" s="1"/>
  <c r="G79" i="1"/>
  <c r="H79" i="1"/>
  <c r="I79" i="1" s="1"/>
  <c r="J79" i="1"/>
  <c r="G80" i="1"/>
  <c r="H80" i="1"/>
  <c r="I80" i="1"/>
  <c r="J80" i="1" s="1"/>
  <c r="G81" i="1"/>
  <c r="H81" i="1"/>
  <c r="I81" i="1" s="1"/>
  <c r="J81" i="1" s="1"/>
  <c r="M21" i="1"/>
  <c r="H21" i="1"/>
  <c r="I21" i="1" s="1"/>
  <c r="J21" i="1" s="1"/>
  <c r="G21" i="1"/>
  <c r="M20" i="1"/>
  <c r="G20" i="1"/>
  <c r="M19" i="1"/>
  <c r="G19" i="1"/>
  <c r="M18" i="1"/>
  <c r="G18" i="1"/>
  <c r="M17" i="1"/>
  <c r="G17" i="1"/>
  <c r="M16" i="1"/>
  <c r="G16" i="1"/>
  <c r="H16" i="1" s="1"/>
  <c r="I16" i="1" s="1"/>
  <c r="J16" i="1" s="1"/>
  <c r="M15" i="1"/>
  <c r="G15" i="1"/>
  <c r="M14" i="1"/>
  <c r="G14" i="1"/>
  <c r="M13" i="1"/>
  <c r="G13" i="1"/>
  <c r="M12" i="1"/>
  <c r="G12" i="1"/>
  <c r="M3" i="1"/>
  <c r="T3" i="1"/>
  <c r="U3" i="1" s="1"/>
  <c r="V3" i="1" s="1"/>
  <c r="W3" i="1" s="1"/>
  <c r="T7" i="1"/>
  <c r="U7" i="1" s="1"/>
  <c r="V7" i="1" s="1"/>
  <c r="W7" i="1" s="1"/>
  <c r="P3" i="1"/>
  <c r="Q3" i="1" s="1"/>
  <c r="R3" i="1" s="1"/>
  <c r="S3" i="1" s="1"/>
  <c r="M4" i="1"/>
  <c r="P4" i="1" s="1"/>
  <c r="Q4" i="1" s="1"/>
  <c r="R4" i="1" s="1"/>
  <c r="M5" i="1"/>
  <c r="P5" i="1" s="1"/>
  <c r="Q5" i="1" s="1"/>
  <c r="R5" i="1" s="1"/>
  <c r="S5" i="1" s="1"/>
  <c r="M6" i="1"/>
  <c r="P6" i="1" s="1"/>
  <c r="M7" i="1"/>
  <c r="P7" i="1" s="1"/>
  <c r="Q7" i="1" s="1"/>
  <c r="R7" i="1" s="1"/>
  <c r="S7" i="1" s="1"/>
  <c r="M8" i="1"/>
  <c r="P8" i="1" s="1"/>
  <c r="Q8" i="1" s="1"/>
  <c r="R8" i="1" s="1"/>
  <c r="S8" i="1" s="1"/>
  <c r="T8" i="1" s="1"/>
  <c r="U8" i="1" s="1"/>
  <c r="V8" i="1" s="1"/>
  <c r="W8" i="1" s="1"/>
  <c r="M9" i="1"/>
  <c r="P9" i="1" s="1"/>
  <c r="Q9" i="1" s="1"/>
  <c r="M10" i="1"/>
  <c r="P10" i="1" s="1"/>
  <c r="Q10" i="1" s="1"/>
  <c r="R10" i="1" s="1"/>
  <c r="S10" i="1" s="1"/>
  <c r="T10" i="1" s="1"/>
  <c r="U10" i="1" s="1"/>
  <c r="V10" i="1" s="1"/>
  <c r="W10" i="1" s="1"/>
  <c r="M11" i="1"/>
  <c r="P11" i="1" s="1"/>
  <c r="Q11" i="1" s="1"/>
  <c r="R11" i="1" s="1"/>
  <c r="S11" i="1" s="1"/>
  <c r="M2" i="1"/>
  <c r="P2" i="1" s="1"/>
  <c r="G11" i="1"/>
  <c r="H11" i="1" s="1"/>
  <c r="I11" i="1" s="1"/>
  <c r="J11" i="1" s="1"/>
  <c r="G10" i="1"/>
  <c r="H10" i="1" s="1"/>
  <c r="I10" i="1" s="1"/>
  <c r="G9" i="1"/>
  <c r="G8" i="1"/>
  <c r="H8" i="1" s="1"/>
  <c r="I8" i="1" s="1"/>
  <c r="J8" i="1" s="1"/>
  <c r="G7" i="1"/>
  <c r="H7" i="1" s="1"/>
  <c r="I7" i="1" s="1"/>
  <c r="G6" i="1"/>
  <c r="H6" i="1" s="1"/>
  <c r="I6" i="1" s="1"/>
  <c r="G5" i="1"/>
  <c r="H5" i="1" s="1"/>
  <c r="I5" i="1" s="1"/>
  <c r="J5" i="1" s="1"/>
  <c r="G4" i="1"/>
  <c r="G3" i="1"/>
  <c r="G2" i="1"/>
  <c r="H2" i="1" s="1"/>
  <c r="I2" i="1" s="1"/>
  <c r="J2" i="1" s="1"/>
  <c r="T16" i="1" l="1"/>
  <c r="U16" i="1" s="1"/>
  <c r="V16" i="1" s="1"/>
  <c r="W16" i="1" s="1"/>
  <c r="T25" i="1"/>
  <c r="U25" i="1" s="1"/>
  <c r="V25" i="1" s="1"/>
  <c r="W25" i="1" s="1"/>
  <c r="T70" i="1"/>
  <c r="U70" i="1" s="1"/>
  <c r="V70" i="1" s="1"/>
  <c r="W70" i="1" s="1"/>
  <c r="T52" i="1"/>
  <c r="U52" i="1" s="1"/>
  <c r="V52" i="1" s="1"/>
  <c r="W52" i="1" s="1"/>
  <c r="T61" i="1"/>
  <c r="U61" i="1" s="1"/>
  <c r="V61" i="1" s="1"/>
  <c r="W61" i="1" s="1"/>
  <c r="T46" i="1"/>
  <c r="U46" i="1" s="1"/>
  <c r="V46" i="1" s="1"/>
  <c r="W46" i="1" s="1"/>
  <c r="T64" i="1"/>
  <c r="U64" i="1" s="1"/>
  <c r="V64" i="1" s="1"/>
  <c r="W64" i="1" s="1"/>
  <c r="T34" i="1"/>
  <c r="U34" i="1" s="1"/>
  <c r="V34" i="1" s="1"/>
  <c r="W34" i="1" s="1"/>
  <c r="T31" i="1"/>
  <c r="U31" i="1" s="1"/>
  <c r="V31" i="1" s="1"/>
  <c r="W31" i="1" s="1"/>
  <c r="T55" i="1"/>
  <c r="U55" i="1" s="1"/>
  <c r="V55" i="1" s="1"/>
  <c r="W55" i="1" s="1"/>
  <c r="T49" i="1"/>
  <c r="U49" i="1" s="1"/>
  <c r="V49" i="1" s="1"/>
  <c r="W49" i="1" s="1"/>
  <c r="T13" i="1"/>
  <c r="U13" i="1" s="1"/>
  <c r="V13" i="1" s="1"/>
  <c r="W13" i="1" s="1"/>
  <c r="T43" i="1"/>
  <c r="U43" i="1" s="1"/>
  <c r="V43" i="1" s="1"/>
  <c r="W43" i="1" s="1"/>
  <c r="T40" i="1"/>
  <c r="U40" i="1" s="1"/>
  <c r="V40" i="1" s="1"/>
  <c r="W40" i="1" s="1"/>
  <c r="T19" i="1"/>
  <c r="U19" i="1" s="1"/>
  <c r="V19" i="1" s="1"/>
  <c r="W19" i="1" s="1"/>
  <c r="T73" i="1"/>
  <c r="U73" i="1" s="1"/>
  <c r="V73" i="1" s="1"/>
  <c r="W73" i="1" s="1"/>
  <c r="T67" i="1"/>
  <c r="U67" i="1" s="1"/>
  <c r="V67" i="1" s="1"/>
  <c r="W67" i="1" s="1"/>
  <c r="T58" i="1"/>
  <c r="U58" i="1" s="1"/>
  <c r="V58" i="1" s="1"/>
  <c r="W58" i="1" s="1"/>
  <c r="T22" i="1"/>
  <c r="U22" i="1" s="1"/>
  <c r="V22" i="1" s="1"/>
  <c r="W22" i="1" s="1"/>
  <c r="J73" i="1"/>
  <c r="J63" i="1"/>
  <c r="J53" i="1"/>
  <c r="J61" i="1"/>
  <c r="J57" i="1"/>
  <c r="J50" i="1"/>
  <c r="J36" i="1"/>
  <c r="J29" i="1"/>
  <c r="J25" i="1"/>
  <c r="J72" i="1"/>
  <c r="J54" i="1"/>
  <c r="H48" i="1"/>
  <c r="I48" i="1" s="1"/>
  <c r="J48" i="1" s="1"/>
  <c r="H51" i="1"/>
  <c r="I51" i="1" s="1"/>
  <c r="J51" i="1" s="1"/>
  <c r="J69" i="1"/>
  <c r="J33" i="1"/>
  <c r="J17" i="1"/>
  <c r="J13" i="1"/>
  <c r="J20" i="1"/>
  <c r="H14" i="1"/>
  <c r="I14" i="1" s="1"/>
  <c r="J14" i="1" s="1"/>
  <c r="H19" i="1"/>
  <c r="I19" i="1" s="1"/>
  <c r="J19" i="1" s="1"/>
  <c r="H12" i="1"/>
  <c r="I12" i="1" s="1"/>
  <c r="J12" i="1" s="1"/>
  <c r="H17" i="1"/>
  <c r="I17" i="1" s="1"/>
  <c r="H15" i="1"/>
  <c r="I15" i="1" s="1"/>
  <c r="J15" i="1" s="1"/>
  <c r="H20" i="1"/>
  <c r="I20" i="1" s="1"/>
  <c r="H13" i="1"/>
  <c r="I13" i="1" s="1"/>
  <c r="H18" i="1"/>
  <c r="I18" i="1" s="1"/>
  <c r="J18" i="1" s="1"/>
  <c r="T5" i="1"/>
  <c r="U5" i="1" s="1"/>
  <c r="V5" i="1" s="1"/>
  <c r="W5" i="1" s="1"/>
  <c r="Q2" i="1"/>
  <c r="R2" i="1" s="1"/>
  <c r="T11" i="1"/>
  <c r="U11" i="1" s="1"/>
  <c r="V11" i="1" s="1"/>
  <c r="W11" i="1" s="1"/>
  <c r="S2" i="1"/>
  <c r="T2" i="1" s="1"/>
  <c r="U2" i="1" s="1"/>
  <c r="Q6" i="1"/>
  <c r="R6" i="1" s="1"/>
  <c r="S6" i="1" s="1"/>
  <c r="T6" i="1" s="1"/>
  <c r="U6" i="1" s="1"/>
  <c r="V6" i="1" s="1"/>
  <c r="W6" i="1" s="1"/>
  <c r="R9" i="1"/>
  <c r="S9" i="1" s="1"/>
  <c r="T9" i="1" s="1"/>
  <c r="U9" i="1" s="1"/>
  <c r="V9" i="1" s="1"/>
  <c r="W9" i="1" s="1"/>
  <c r="S4" i="1"/>
  <c r="T4" i="1" s="1"/>
  <c r="U4" i="1" s="1"/>
  <c r="V4" i="1" s="1"/>
  <c r="W4" i="1" s="1"/>
  <c r="H3" i="1"/>
  <c r="I3" i="1" s="1"/>
  <c r="J3" i="1" s="1"/>
  <c r="H9" i="1"/>
  <c r="I9" i="1" s="1"/>
  <c r="J9" i="1" s="1"/>
  <c r="H4" i="1"/>
  <c r="I4" i="1" s="1"/>
  <c r="J4" i="1" s="1"/>
  <c r="J7" i="1"/>
  <c r="J10" i="1"/>
  <c r="J6" i="1"/>
  <c r="W2" i="1" l="1"/>
  <c r="V2" i="1"/>
</calcChain>
</file>

<file path=xl/sharedStrings.xml><?xml version="1.0" encoding="utf-8"?>
<sst xmlns="http://schemas.openxmlformats.org/spreadsheetml/2006/main" count="252" uniqueCount="29">
  <si>
    <t>Site</t>
  </si>
  <si>
    <t>Aggregatefraction</t>
  </si>
  <si>
    <t>g dry per g wet (100% water holding capacity)</t>
  </si>
  <si>
    <t>dry soil in 2 g</t>
  </si>
  <si>
    <t>Water in 2 g at 100% water holding capacity</t>
  </si>
  <si>
    <t>Desired water in 2 g</t>
  </si>
  <si>
    <t>Desired soil + water</t>
  </si>
  <si>
    <t>Desired moisture</t>
  </si>
  <si>
    <t>averages</t>
  </si>
  <si>
    <t>C</t>
  </si>
  <si>
    <t>A</t>
  </si>
  <si>
    <t>B</t>
  </si>
  <si>
    <t>Bulk</t>
  </si>
  <si>
    <t>D</t>
  </si>
  <si>
    <t>O</t>
  </si>
  <si>
    <t>Soil + water in container</t>
  </si>
  <si>
    <t>dry soil in container</t>
  </si>
  <si>
    <t>Water in container</t>
  </si>
  <si>
    <t>Desired water in container</t>
  </si>
  <si>
    <t>Container</t>
  </si>
  <si>
    <t>Desired soil + water + container final mass</t>
  </si>
  <si>
    <t>Field moisture</t>
  </si>
  <si>
    <t>Soil + water + container</t>
  </si>
  <si>
    <t>g dry per g wet</t>
  </si>
  <si>
    <t>dry soil in 2 g subsample</t>
  </si>
  <si>
    <t>18O addition (20% 18O H2O to reach 1% enrichment in soils)</t>
  </si>
  <si>
    <t>uL 20% 18O</t>
  </si>
  <si>
    <t>Harvest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</si>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</sst>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A118C-A0F2-45DD-ACF6-5560F8C1579D}">
  <dimension ref="A1:W81"/>
  <sheetViews>
    <sheetView tabSelected="1" workbookViewId="0">
      <selection activeCell="S19" sqref="S19"/>
    </sheetView>
  </sheetViews>
  <sheetFormatPr defaultRowHeight="14.5" x14ac:dyDescent="0.35"/>
  <cols>
    <col min="3" max="3" width="9.08984375" bestFit="1" customWidth="1"/>
    <col min="6" max="6" width="8.7265625" style="3"/>
    <col min="11" max="12" width="8.7265625" style="3"/>
    <col min="14" max="15" width="8.7265625" style="1"/>
    <col min="17" max="17" width="16" customWidth="1"/>
    <col min="18" max="18" width="21.81640625" customWidth="1"/>
    <col min="19" max="19" width="56.36328125" customWidth="1"/>
  </cols>
  <sheetData>
    <row r="1" spans="1:23" x14ac:dyDescent="0.35">
      <c r="A1" t="s">
        <v>0</v>
      </c>
      <c r="B1" t="s">
        <v>27</v>
      </c>
      <c r="D1" t="s">
        <v>1</v>
      </c>
      <c r="E1" t="s">
        <v>21</v>
      </c>
      <c r="F1" s="3" t="s">
        <v>2</v>
      </c>
      <c r="G1" t="s">
        <v>3</v>
      </c>
      <c r="H1" t="s">
        <v>4</v>
      </c>
      <c r="I1" t="s">
        <v>5</v>
      </c>
      <c r="J1" t="s">
        <v>6</v>
      </c>
      <c r="K1" s="3" t="s">
        <v>7</v>
      </c>
      <c r="L1" s="3" t="s">
        <v>8</v>
      </c>
      <c r="M1" t="s">
        <v>15</v>
      </c>
      <c r="N1" s="1" t="s">
        <v>22</v>
      </c>
      <c r="O1" s="1" t="s">
        <v>19</v>
      </c>
      <c r="P1" t="s">
        <v>16</v>
      </c>
      <c r="Q1" t="s">
        <v>17</v>
      </c>
      <c r="R1" t="s">
        <v>18</v>
      </c>
      <c r="S1" t="s">
        <v>20</v>
      </c>
      <c r="T1" t="s">
        <v>23</v>
      </c>
      <c r="U1" t="s">
        <v>24</v>
      </c>
      <c r="V1" t="s">
        <v>25</v>
      </c>
      <c r="W1" t="s">
        <v>26</v>
      </c>
    </row>
    <row r="2" spans="1:23" x14ac:dyDescent="0.35">
      <c r="A2" t="s">
        <v>9</v>
      </c>
      <c r="B2">
        <v>2</v>
      </c>
      <c r="C2" s="2">
        <v>45441</v>
      </c>
      <c r="D2" t="s">
        <v>10</v>
      </c>
      <c r="F2" s="3">
        <v>0.67300000000000004</v>
      </c>
      <c r="G2">
        <f>F2*2</f>
        <v>1.3460000000000001</v>
      </c>
      <c r="H2">
        <f>2-G2</f>
        <v>0.65399999999999991</v>
      </c>
      <c r="I2">
        <f>H2*0.6</f>
        <v>0.39239999999999992</v>
      </c>
      <c r="J2">
        <f>G2+I2</f>
        <v>1.7383999999999999</v>
      </c>
      <c r="K2" s="3">
        <v>0.40379999999999999</v>
      </c>
      <c r="L2" s="3">
        <v>0.39465</v>
      </c>
      <c r="M2">
        <f t="shared" ref="M2:M11" si="0">N2-O2</f>
        <v>28.78</v>
      </c>
      <c r="N2" s="1">
        <v>36.96</v>
      </c>
      <c r="O2" s="1">
        <v>8.18</v>
      </c>
      <c r="P2">
        <f>M2*F2</f>
        <v>19.368940000000002</v>
      </c>
      <c r="Q2">
        <f>M2-P2</f>
        <v>9.4110599999999991</v>
      </c>
      <c r="R2">
        <f>Q2*0.6</f>
        <v>5.6466359999999991</v>
      </c>
      <c r="S2">
        <f t="shared" ref="S2:S10" si="1">R2+P2+O2</f>
        <v>33.195576000000003</v>
      </c>
      <c r="T2">
        <f>P2/(S2-O2)</f>
        <v>0.77427519558214453</v>
      </c>
      <c r="U2">
        <f>T2*2</f>
        <v>1.5485503911642891</v>
      </c>
      <c r="V2">
        <f>(2-U2)/20</f>
        <v>2.2572480441785548E-2</v>
      </c>
      <c r="W2">
        <f>V2*1000</f>
        <v>22.572480441785547</v>
      </c>
    </row>
    <row r="3" spans="1:23" x14ac:dyDescent="0.35">
      <c r="A3" t="s">
        <v>9</v>
      </c>
      <c r="B3">
        <v>2</v>
      </c>
      <c r="C3" s="2">
        <v>45441</v>
      </c>
      <c r="D3" t="s">
        <v>11</v>
      </c>
      <c r="F3" s="3">
        <v>0.80400000000000005</v>
      </c>
      <c r="G3">
        <f t="shared" ref="G3:G11" si="2">F3*2</f>
        <v>1.6080000000000001</v>
      </c>
      <c r="H3">
        <f t="shared" ref="H3:H11" si="3">2-G3</f>
        <v>0.3919999999999999</v>
      </c>
      <c r="I3">
        <f t="shared" ref="I3:I11" si="4">H3*0.6</f>
        <v>0.23519999999999994</v>
      </c>
      <c r="J3">
        <f t="shared" ref="J3:J11" si="5">G3+I3</f>
        <v>1.8431999999999999</v>
      </c>
      <c r="K3" s="3">
        <v>0.4824</v>
      </c>
      <c r="L3" s="3">
        <v>0.39434999999999998</v>
      </c>
      <c r="M3">
        <f>N3-O3</f>
        <v>46.120000000000005</v>
      </c>
      <c r="N3" s="1">
        <v>54.31</v>
      </c>
      <c r="O3" s="1">
        <v>8.19</v>
      </c>
      <c r="P3">
        <f t="shared" ref="P3:P11" si="6">M3*F3</f>
        <v>37.080480000000009</v>
      </c>
      <c r="Q3">
        <f t="shared" ref="Q3:Q11" si="7">M3-P3</f>
        <v>9.039519999999996</v>
      </c>
      <c r="R3">
        <f t="shared" ref="R3:R11" si="8">Q3*0.6</f>
        <v>5.4237119999999974</v>
      </c>
      <c r="S3">
        <f t="shared" si="1"/>
        <v>50.694192000000001</v>
      </c>
      <c r="T3">
        <f t="shared" ref="T3:T10" si="9">P3/(S3-O3)</f>
        <v>0.87239583333333348</v>
      </c>
      <c r="U3">
        <f t="shared" ref="U3:U11" si="10">T3*2</f>
        <v>1.744791666666667</v>
      </c>
      <c r="V3">
        <f t="shared" ref="V3:V11" si="11">(2-U3)/20</f>
        <v>1.2760416666666653E-2</v>
      </c>
      <c r="W3">
        <f t="shared" ref="W3:W66" si="12">V3*1000</f>
        <v>12.760416666666652</v>
      </c>
    </row>
    <row r="4" spans="1:23" x14ac:dyDescent="0.35">
      <c r="A4" t="s">
        <v>9</v>
      </c>
      <c r="B4">
        <v>2</v>
      </c>
      <c r="C4" s="2">
        <v>45441</v>
      </c>
      <c r="D4" t="s">
        <v>12</v>
      </c>
      <c r="E4">
        <v>0.84399999999999997</v>
      </c>
      <c r="F4" s="3">
        <v>0.39500000000000002</v>
      </c>
      <c r="G4">
        <f t="shared" si="2"/>
        <v>0.79</v>
      </c>
      <c r="H4">
        <f t="shared" si="3"/>
        <v>1.21</v>
      </c>
      <c r="I4">
        <f t="shared" si="4"/>
        <v>0.72599999999999998</v>
      </c>
      <c r="J4">
        <f t="shared" si="5"/>
        <v>1.516</v>
      </c>
      <c r="K4" s="3">
        <v>0.23699999999999999</v>
      </c>
      <c r="L4" s="3">
        <v>0.25395000000000001</v>
      </c>
      <c r="M4">
        <f t="shared" si="0"/>
        <v>32.85</v>
      </c>
      <c r="N4" s="1">
        <v>41.03</v>
      </c>
      <c r="O4" s="1">
        <v>8.18</v>
      </c>
      <c r="P4">
        <f>M4*E4</f>
        <v>27.7254</v>
      </c>
      <c r="Q4">
        <f t="shared" si="7"/>
        <v>5.1246000000000009</v>
      </c>
      <c r="R4">
        <f>Q4</f>
        <v>5.1246000000000009</v>
      </c>
      <c r="S4">
        <f t="shared" si="1"/>
        <v>41.03</v>
      </c>
      <c r="T4">
        <f>P4/(S4-O4)</f>
        <v>0.84399999999999997</v>
      </c>
      <c r="U4">
        <f t="shared" si="10"/>
        <v>1.6879999999999999</v>
      </c>
      <c r="V4">
        <f t="shared" si="11"/>
        <v>1.5600000000000003E-2</v>
      </c>
      <c r="W4">
        <f t="shared" si="12"/>
        <v>15.600000000000003</v>
      </c>
    </row>
    <row r="5" spans="1:23" x14ac:dyDescent="0.35">
      <c r="A5" t="s">
        <v>9</v>
      </c>
      <c r="B5">
        <v>2</v>
      </c>
      <c r="C5" s="2">
        <v>45441</v>
      </c>
      <c r="D5" t="s">
        <v>9</v>
      </c>
      <c r="F5" s="3">
        <v>0.57099999999999995</v>
      </c>
      <c r="G5">
        <f t="shared" si="2"/>
        <v>1.1419999999999999</v>
      </c>
      <c r="H5">
        <f t="shared" si="3"/>
        <v>0.8580000000000001</v>
      </c>
      <c r="I5">
        <f t="shared" si="4"/>
        <v>0.51480000000000004</v>
      </c>
      <c r="J5">
        <f t="shared" si="5"/>
        <v>1.6568000000000001</v>
      </c>
      <c r="K5" s="3">
        <v>0.34260000000000002</v>
      </c>
      <c r="L5" s="3">
        <v>0.38550000000000001</v>
      </c>
      <c r="M5">
        <f t="shared" si="0"/>
        <v>29.700000000000003</v>
      </c>
      <c r="N5" s="1">
        <v>38.1</v>
      </c>
      <c r="O5" s="1">
        <v>8.4</v>
      </c>
      <c r="P5">
        <f t="shared" si="6"/>
        <v>16.9587</v>
      </c>
      <c r="Q5">
        <f t="shared" si="7"/>
        <v>12.741300000000003</v>
      </c>
      <c r="R5">
        <f t="shared" si="8"/>
        <v>7.6447800000000008</v>
      </c>
      <c r="S5">
        <f t="shared" si="1"/>
        <v>33.003480000000003</v>
      </c>
      <c r="T5">
        <f t="shared" si="9"/>
        <v>0.68928054080154499</v>
      </c>
      <c r="U5">
        <f>T5*2</f>
        <v>1.37856108160309</v>
      </c>
      <c r="V5">
        <f t="shared" si="11"/>
        <v>3.1071945919845502E-2</v>
      </c>
      <c r="W5">
        <f t="shared" si="12"/>
        <v>31.071945919845501</v>
      </c>
    </row>
    <row r="6" spans="1:23" x14ac:dyDescent="0.35">
      <c r="A6" t="s">
        <v>9</v>
      </c>
      <c r="B6">
        <v>2</v>
      </c>
      <c r="C6" s="2">
        <v>45441</v>
      </c>
      <c r="D6" t="s">
        <v>13</v>
      </c>
      <c r="F6" s="3">
        <v>0.95</v>
      </c>
      <c r="G6">
        <f t="shared" si="2"/>
        <v>1.9</v>
      </c>
      <c r="H6">
        <f t="shared" si="3"/>
        <v>0.10000000000000009</v>
      </c>
      <c r="I6">
        <f t="shared" si="4"/>
        <v>6.0000000000000053E-2</v>
      </c>
      <c r="J6">
        <f t="shared" si="5"/>
        <v>1.96</v>
      </c>
      <c r="K6" s="3">
        <v>0.56999999999999995</v>
      </c>
      <c r="L6" s="3">
        <v>0.54074999999999995</v>
      </c>
      <c r="M6">
        <f t="shared" si="0"/>
        <v>55.71</v>
      </c>
      <c r="N6" s="1">
        <v>64.11</v>
      </c>
      <c r="O6" s="1">
        <v>8.4</v>
      </c>
      <c r="P6">
        <f>M6*F6</f>
        <v>52.924500000000002</v>
      </c>
      <c r="Q6">
        <f t="shared" si="7"/>
        <v>2.785499999999999</v>
      </c>
      <c r="R6">
        <f t="shared" si="8"/>
        <v>1.6712999999999993</v>
      </c>
      <c r="S6">
        <f t="shared" si="1"/>
        <v>62.995800000000003</v>
      </c>
      <c r="T6">
        <f t="shared" si="9"/>
        <v>0.96938775510204078</v>
      </c>
      <c r="U6">
        <f t="shared" si="10"/>
        <v>1.9387755102040816</v>
      </c>
      <c r="V6">
        <f t="shared" si="11"/>
        <v>3.0612244897959217E-3</v>
      </c>
      <c r="W6">
        <f t="shared" si="12"/>
        <v>3.0612244897959218</v>
      </c>
    </row>
    <row r="7" spans="1:23" x14ac:dyDescent="0.35">
      <c r="A7" t="s">
        <v>14</v>
      </c>
      <c r="B7">
        <v>2</v>
      </c>
      <c r="C7" s="2">
        <v>45441</v>
      </c>
      <c r="D7" t="s">
        <v>10</v>
      </c>
      <c r="F7" s="3">
        <v>0.65300000000000002</v>
      </c>
      <c r="G7">
        <f t="shared" si="2"/>
        <v>1.306</v>
      </c>
      <c r="H7">
        <f t="shared" si="3"/>
        <v>0.69399999999999995</v>
      </c>
      <c r="I7">
        <f t="shared" si="4"/>
        <v>0.41639999999999994</v>
      </c>
      <c r="J7">
        <f t="shared" si="5"/>
        <v>1.7223999999999999</v>
      </c>
      <c r="K7" s="3">
        <v>0.39179999999999998</v>
      </c>
      <c r="L7" s="3">
        <v>0.39884999999999998</v>
      </c>
      <c r="M7">
        <f t="shared" si="0"/>
        <v>54.730000000000004</v>
      </c>
      <c r="N7" s="1">
        <v>63.13</v>
      </c>
      <c r="O7" s="1">
        <v>8.4</v>
      </c>
      <c r="P7">
        <f t="shared" si="6"/>
        <v>35.738690000000005</v>
      </c>
      <c r="Q7">
        <f t="shared" si="7"/>
        <v>18.991309999999999</v>
      </c>
      <c r="R7">
        <f t="shared" si="8"/>
        <v>11.394785999999998</v>
      </c>
      <c r="S7">
        <f t="shared" si="1"/>
        <v>55.533476</v>
      </c>
      <c r="T7">
        <f t="shared" si="9"/>
        <v>0.75824431026474692</v>
      </c>
      <c r="U7">
        <f t="shared" si="10"/>
        <v>1.5164886205294938</v>
      </c>
      <c r="V7">
        <f t="shared" si="11"/>
        <v>2.4175568973525307E-2</v>
      </c>
      <c r="W7">
        <f t="shared" si="12"/>
        <v>24.175568973525309</v>
      </c>
    </row>
    <row r="8" spans="1:23" x14ac:dyDescent="0.35">
      <c r="A8" t="s">
        <v>14</v>
      </c>
      <c r="B8">
        <v>2</v>
      </c>
      <c r="C8" s="2">
        <v>45441</v>
      </c>
      <c r="D8" t="s">
        <v>11</v>
      </c>
      <c r="F8" s="3">
        <v>0.68400000000000005</v>
      </c>
      <c r="G8">
        <f t="shared" si="2"/>
        <v>1.3680000000000001</v>
      </c>
      <c r="H8">
        <f t="shared" si="3"/>
        <v>0.6319999999999999</v>
      </c>
      <c r="I8">
        <f t="shared" si="4"/>
        <v>0.37919999999999993</v>
      </c>
      <c r="J8">
        <f t="shared" si="5"/>
        <v>1.7472000000000001</v>
      </c>
      <c r="K8" s="3">
        <v>0.41039999999999999</v>
      </c>
      <c r="L8" s="3">
        <v>0.39434999999999998</v>
      </c>
      <c r="M8">
        <f t="shared" si="0"/>
        <v>15.540000000000001</v>
      </c>
      <c r="N8" s="1">
        <v>23.94</v>
      </c>
      <c r="O8" s="1">
        <v>8.4</v>
      </c>
      <c r="P8">
        <f t="shared" si="6"/>
        <v>10.629360000000002</v>
      </c>
      <c r="Q8">
        <f t="shared" si="7"/>
        <v>4.910639999999999</v>
      </c>
      <c r="R8">
        <f t="shared" si="8"/>
        <v>2.9463839999999992</v>
      </c>
      <c r="S8">
        <f t="shared" si="1"/>
        <v>21.975743999999999</v>
      </c>
      <c r="T8">
        <f t="shared" si="9"/>
        <v>0.78296703296703318</v>
      </c>
      <c r="U8">
        <f t="shared" si="10"/>
        <v>1.5659340659340664</v>
      </c>
      <c r="V8">
        <f t="shared" si="11"/>
        <v>2.1703296703296682E-2</v>
      </c>
      <c r="W8">
        <f t="shared" si="12"/>
        <v>21.703296703296683</v>
      </c>
    </row>
    <row r="9" spans="1:23" x14ac:dyDescent="0.35">
      <c r="A9" t="s">
        <v>14</v>
      </c>
      <c r="B9">
        <v>2</v>
      </c>
      <c r="C9" s="2">
        <v>45441</v>
      </c>
      <c r="D9" t="s">
        <v>12</v>
      </c>
      <c r="E9">
        <v>0.85299999999999998</v>
      </c>
      <c r="F9" s="3">
        <v>0.52700000000000002</v>
      </c>
      <c r="G9">
        <f t="shared" si="2"/>
        <v>1.054</v>
      </c>
      <c r="H9">
        <f t="shared" si="3"/>
        <v>0.94599999999999995</v>
      </c>
      <c r="I9">
        <f t="shared" si="4"/>
        <v>0.56759999999999999</v>
      </c>
      <c r="J9">
        <f t="shared" si="5"/>
        <v>1.6215999999999999</v>
      </c>
      <c r="K9" s="3">
        <v>0.31619999999999998</v>
      </c>
      <c r="L9" s="3">
        <v>0.32129999999999997</v>
      </c>
      <c r="M9">
        <f t="shared" si="0"/>
        <v>33.790000000000006</v>
      </c>
      <c r="N9" s="1">
        <v>42.06</v>
      </c>
      <c r="O9" s="1">
        <v>8.27</v>
      </c>
      <c r="P9">
        <f>M9*E9</f>
        <v>28.822870000000005</v>
      </c>
      <c r="Q9">
        <f t="shared" si="7"/>
        <v>4.9671300000000009</v>
      </c>
      <c r="R9">
        <f>Q9</f>
        <v>4.9671300000000009</v>
      </c>
      <c r="S9">
        <f t="shared" si="1"/>
        <v>42.06</v>
      </c>
      <c r="T9">
        <f t="shared" si="9"/>
        <v>0.85299999999999998</v>
      </c>
      <c r="U9">
        <f t="shared" si="10"/>
        <v>1.706</v>
      </c>
      <c r="V9">
        <f t="shared" si="11"/>
        <v>1.4700000000000001E-2</v>
      </c>
      <c r="W9">
        <f t="shared" si="12"/>
        <v>14.700000000000001</v>
      </c>
    </row>
    <row r="10" spans="1:23" x14ac:dyDescent="0.35">
      <c r="A10" t="s">
        <v>14</v>
      </c>
      <c r="B10">
        <v>2</v>
      </c>
      <c r="C10" s="2">
        <v>45441</v>
      </c>
      <c r="D10" t="s">
        <v>9</v>
      </c>
      <c r="F10" s="3">
        <v>0.63500000000000001</v>
      </c>
      <c r="G10">
        <f t="shared" si="2"/>
        <v>1.27</v>
      </c>
      <c r="H10">
        <f t="shared" si="3"/>
        <v>0.73</v>
      </c>
      <c r="I10">
        <f t="shared" si="4"/>
        <v>0.438</v>
      </c>
      <c r="J10">
        <f t="shared" si="5"/>
        <v>1.708</v>
      </c>
      <c r="K10" s="3">
        <v>0.38100000000000001</v>
      </c>
      <c r="L10" s="3">
        <v>0.42104999999999998</v>
      </c>
      <c r="M10">
        <f t="shared" si="0"/>
        <v>32.39</v>
      </c>
      <c r="N10" s="1">
        <v>40.56</v>
      </c>
      <c r="O10" s="1">
        <v>8.17</v>
      </c>
      <c r="P10">
        <f t="shared" si="6"/>
        <v>20.56765</v>
      </c>
      <c r="Q10">
        <f t="shared" si="7"/>
        <v>11.82235</v>
      </c>
      <c r="R10">
        <f t="shared" si="8"/>
        <v>7.0934099999999995</v>
      </c>
      <c r="S10">
        <f t="shared" si="1"/>
        <v>35.831060000000001</v>
      </c>
      <c r="T10">
        <f t="shared" si="9"/>
        <v>0.74355971896955508</v>
      </c>
      <c r="U10">
        <f t="shared" si="10"/>
        <v>1.4871194379391102</v>
      </c>
      <c r="V10">
        <f t="shared" si="11"/>
        <v>2.5644028103044492E-2</v>
      </c>
      <c r="W10">
        <f t="shared" si="12"/>
        <v>25.644028103044491</v>
      </c>
    </row>
    <row r="11" spans="1:23" x14ac:dyDescent="0.35">
      <c r="A11" t="s">
        <v>14</v>
      </c>
      <c r="B11">
        <v>2</v>
      </c>
      <c r="C11" s="2">
        <v>45441</v>
      </c>
      <c r="D11" t="s">
        <v>13</v>
      </c>
      <c r="F11" s="3">
        <v>0.90700000000000003</v>
      </c>
      <c r="G11">
        <f t="shared" si="2"/>
        <v>1.8140000000000001</v>
      </c>
      <c r="H11">
        <f t="shared" si="3"/>
        <v>0.18599999999999994</v>
      </c>
      <c r="I11">
        <f t="shared" si="4"/>
        <v>0.11159999999999996</v>
      </c>
      <c r="J11">
        <f t="shared" si="5"/>
        <v>1.9256</v>
      </c>
      <c r="K11" s="3">
        <v>0.54420000000000002</v>
      </c>
      <c r="L11" s="3">
        <v>0.52875000000000005</v>
      </c>
      <c r="M11">
        <f t="shared" si="0"/>
        <v>30.75</v>
      </c>
      <c r="N11" s="1">
        <v>39.01</v>
      </c>
      <c r="O11" s="1">
        <v>8.26</v>
      </c>
      <c r="P11">
        <f t="shared" si="6"/>
        <v>27.890250000000002</v>
      </c>
      <c r="Q11">
        <f t="shared" si="7"/>
        <v>2.8597499999999982</v>
      </c>
      <c r="R11">
        <f t="shared" si="8"/>
        <v>1.715849999999999</v>
      </c>
      <c r="S11">
        <f>R11+P11+O11</f>
        <v>37.866100000000003</v>
      </c>
      <c r="T11">
        <f>P11/(S11-O11)</f>
        <v>0.94204403822185279</v>
      </c>
      <c r="U11">
        <f t="shared" si="10"/>
        <v>1.8840880764437056</v>
      </c>
      <c r="V11">
        <f t="shared" si="11"/>
        <v>5.7955961778147214E-3</v>
      </c>
      <c r="W11">
        <f t="shared" si="12"/>
        <v>5.7955961778147209</v>
      </c>
    </row>
    <row r="12" spans="1:23" x14ac:dyDescent="0.35">
      <c r="A12" t="s">
        <v>9</v>
      </c>
      <c r="B12">
        <v>3</v>
      </c>
      <c r="C12" s="2" t="s">
        <v>28</v>
      </c>
      <c r="D12" t="s">
        <v>10</v>
      </c>
      <c r="F12" s="3">
        <v>0.67300000000000004</v>
      </c>
      <c r="G12">
        <f>F12*2</f>
        <v>1.3460000000000001</v>
      </c>
      <c r="H12">
        <f>2-G12</f>
        <v>0.65399999999999991</v>
      </c>
      <c r="I12">
        <f>H12*0.6</f>
        <v>0.39239999999999992</v>
      </c>
      <c r="J12">
        <f>G12+I12</f>
        <v>1.7383999999999999</v>
      </c>
      <c r="K12" s="3">
        <v>0.40379999999999999</v>
      </c>
      <c r="L12" s="3">
        <v>0.39465</v>
      </c>
      <c r="M12">
        <f t="shared" ref="M12:M21" si="13">N12-O12</f>
        <v>0</v>
      </c>
      <c r="P12">
        <f t="shared" ref="P12:P75" si="14">M12*F12</f>
        <v>0</v>
      </c>
      <c r="Q12">
        <f t="shared" ref="Q12:Q75" si="15">M12-P12</f>
        <v>0</v>
      </c>
      <c r="R12">
        <f t="shared" ref="R12:R75" si="16">Q12*0.6</f>
        <v>0</v>
      </c>
      <c r="S12">
        <f t="shared" ref="S12:S75" si="17">R12+P12+O12</f>
        <v>0</v>
      </c>
      <c r="T12" t="e">
        <f t="shared" ref="T12:T75" si="18">P12/(S12-O12)</f>
        <v>#DIV/0!</v>
      </c>
      <c r="U12" t="e">
        <f t="shared" ref="U12:U75" si="19">T12*2</f>
        <v>#DIV/0!</v>
      </c>
      <c r="V12" t="e">
        <f t="shared" ref="V12:V75" si="20">(2-U12)/20</f>
        <v>#DIV/0!</v>
      </c>
      <c r="W12" t="e">
        <f t="shared" si="12"/>
        <v>#DIV/0!</v>
      </c>
    </row>
    <row r="13" spans="1:23" x14ac:dyDescent="0.35">
      <c r="A13" t="s">
        <v>9</v>
      </c>
      <c r="B13">
        <v>3</v>
      </c>
      <c r="C13" s="2" t="s">
        <v>28</v>
      </c>
      <c r="D13" t="s">
        <v>11</v>
      </c>
      <c r="F13" s="3">
        <v>0.80400000000000005</v>
      </c>
      <c r="G13">
        <f t="shared" ref="G13:G21" si="21">F13*2</f>
        <v>1.6080000000000001</v>
      </c>
      <c r="H13">
        <f t="shared" ref="H13:H21" si="22">2-G13</f>
        <v>0.3919999999999999</v>
      </c>
      <c r="I13">
        <f t="shared" ref="I13:I21" si="23">H13*0.6</f>
        <v>0.23519999999999994</v>
      </c>
      <c r="J13">
        <f t="shared" ref="J13:J21" si="24">G13+I13</f>
        <v>1.8431999999999999</v>
      </c>
      <c r="K13" s="3">
        <v>0.4824</v>
      </c>
      <c r="L13" s="3">
        <v>0.39434999999999998</v>
      </c>
      <c r="M13">
        <f>N13-O13</f>
        <v>0</v>
      </c>
      <c r="P13">
        <f t="shared" si="14"/>
        <v>0</v>
      </c>
      <c r="Q13">
        <f t="shared" si="15"/>
        <v>0</v>
      </c>
      <c r="R13">
        <f t="shared" si="16"/>
        <v>0</v>
      </c>
      <c r="S13">
        <f t="shared" si="17"/>
        <v>0</v>
      </c>
      <c r="T13" t="e">
        <f t="shared" si="18"/>
        <v>#DIV/0!</v>
      </c>
      <c r="U13" t="e">
        <f t="shared" si="19"/>
        <v>#DIV/0!</v>
      </c>
      <c r="V13" t="e">
        <f t="shared" si="20"/>
        <v>#DIV/0!</v>
      </c>
      <c r="W13" t="e">
        <f t="shared" si="12"/>
        <v>#DIV/0!</v>
      </c>
    </row>
    <row r="14" spans="1:23" x14ac:dyDescent="0.35">
      <c r="A14" t="s">
        <v>9</v>
      </c>
      <c r="B14">
        <v>3</v>
      </c>
      <c r="C14" s="2" t="s">
        <v>28</v>
      </c>
      <c r="D14" t="s">
        <v>12</v>
      </c>
      <c r="E14">
        <v>0.84399999999999997</v>
      </c>
      <c r="F14" s="3">
        <v>0.39500000000000002</v>
      </c>
      <c r="G14">
        <f t="shared" si="21"/>
        <v>0.79</v>
      </c>
      <c r="H14">
        <f t="shared" si="22"/>
        <v>1.21</v>
      </c>
      <c r="I14">
        <f t="shared" si="23"/>
        <v>0.72599999999999998</v>
      </c>
      <c r="J14">
        <f t="shared" si="24"/>
        <v>1.516</v>
      </c>
      <c r="K14" s="3">
        <v>0.23699999999999999</v>
      </c>
      <c r="L14" s="3">
        <v>0.25395000000000001</v>
      </c>
      <c r="M14">
        <f t="shared" ref="M14:M77" si="25">N14-O14</f>
        <v>0</v>
      </c>
      <c r="P14">
        <f t="shared" si="14"/>
        <v>0</v>
      </c>
      <c r="Q14">
        <f t="shared" si="15"/>
        <v>0</v>
      </c>
      <c r="R14">
        <f t="shared" si="16"/>
        <v>0</v>
      </c>
      <c r="S14">
        <f t="shared" si="17"/>
        <v>0</v>
      </c>
      <c r="T14" t="e">
        <f t="shared" si="18"/>
        <v>#DIV/0!</v>
      </c>
      <c r="U14" t="e">
        <f t="shared" si="19"/>
        <v>#DIV/0!</v>
      </c>
      <c r="V14" t="e">
        <f t="shared" si="20"/>
        <v>#DIV/0!</v>
      </c>
      <c r="W14" t="e">
        <f t="shared" si="12"/>
        <v>#DIV/0!</v>
      </c>
    </row>
    <row r="15" spans="1:23" x14ac:dyDescent="0.35">
      <c r="A15" t="s">
        <v>9</v>
      </c>
      <c r="B15">
        <v>3</v>
      </c>
      <c r="C15" s="2" t="s">
        <v>28</v>
      </c>
      <c r="D15" t="s">
        <v>9</v>
      </c>
      <c r="F15" s="3">
        <v>0.57099999999999995</v>
      </c>
      <c r="G15">
        <f t="shared" si="21"/>
        <v>1.1419999999999999</v>
      </c>
      <c r="H15">
        <f t="shared" si="22"/>
        <v>0.8580000000000001</v>
      </c>
      <c r="I15">
        <f t="shared" si="23"/>
        <v>0.51480000000000004</v>
      </c>
      <c r="J15">
        <f t="shared" si="24"/>
        <v>1.6568000000000001</v>
      </c>
      <c r="K15" s="3">
        <v>0.34260000000000002</v>
      </c>
      <c r="L15" s="3">
        <v>0.38550000000000001</v>
      </c>
      <c r="M15">
        <f t="shared" si="25"/>
        <v>0</v>
      </c>
      <c r="P15">
        <f t="shared" si="14"/>
        <v>0</v>
      </c>
      <c r="Q15">
        <f t="shared" si="15"/>
        <v>0</v>
      </c>
      <c r="R15">
        <f t="shared" si="16"/>
        <v>0</v>
      </c>
      <c r="S15">
        <f t="shared" si="17"/>
        <v>0</v>
      </c>
      <c r="T15" t="e">
        <f t="shared" si="18"/>
        <v>#DIV/0!</v>
      </c>
      <c r="U15" t="e">
        <f t="shared" si="19"/>
        <v>#DIV/0!</v>
      </c>
      <c r="V15" t="e">
        <f t="shared" si="20"/>
        <v>#DIV/0!</v>
      </c>
      <c r="W15" t="e">
        <f t="shared" si="12"/>
        <v>#DIV/0!</v>
      </c>
    </row>
    <row r="16" spans="1:23" x14ac:dyDescent="0.35">
      <c r="A16" t="s">
        <v>9</v>
      </c>
      <c r="B16">
        <v>3</v>
      </c>
      <c r="C16" s="2" t="s">
        <v>28</v>
      </c>
      <c r="D16" t="s">
        <v>13</v>
      </c>
      <c r="F16" s="3">
        <v>0.95</v>
      </c>
      <c r="G16">
        <f t="shared" si="21"/>
        <v>1.9</v>
      </c>
      <c r="H16">
        <f t="shared" si="22"/>
        <v>0.10000000000000009</v>
      </c>
      <c r="I16">
        <f t="shared" si="23"/>
        <v>6.0000000000000053E-2</v>
      </c>
      <c r="J16">
        <f t="shared" si="24"/>
        <v>1.96</v>
      </c>
      <c r="K16" s="3">
        <v>0.56999999999999995</v>
      </c>
      <c r="L16" s="3">
        <v>0.54074999999999995</v>
      </c>
      <c r="M16">
        <f t="shared" si="25"/>
        <v>0</v>
      </c>
      <c r="P16">
        <f t="shared" si="14"/>
        <v>0</v>
      </c>
      <c r="Q16">
        <f t="shared" si="15"/>
        <v>0</v>
      </c>
      <c r="R16">
        <f t="shared" si="16"/>
        <v>0</v>
      </c>
      <c r="S16">
        <f t="shared" si="17"/>
        <v>0</v>
      </c>
      <c r="T16" t="e">
        <f t="shared" si="18"/>
        <v>#DIV/0!</v>
      </c>
      <c r="U16" t="e">
        <f t="shared" si="19"/>
        <v>#DIV/0!</v>
      </c>
      <c r="V16" t="e">
        <f t="shared" si="20"/>
        <v>#DIV/0!</v>
      </c>
      <c r="W16" t="e">
        <f t="shared" si="12"/>
        <v>#DIV/0!</v>
      </c>
    </row>
    <row r="17" spans="1:23" x14ac:dyDescent="0.35">
      <c r="A17" t="s">
        <v>14</v>
      </c>
      <c r="B17">
        <v>3</v>
      </c>
      <c r="C17" s="2" t="s">
        <v>28</v>
      </c>
      <c r="D17" t="s">
        <v>10</v>
      </c>
      <c r="F17" s="3">
        <v>0.65300000000000002</v>
      </c>
      <c r="G17">
        <f t="shared" si="21"/>
        <v>1.306</v>
      </c>
      <c r="H17">
        <f t="shared" si="22"/>
        <v>0.69399999999999995</v>
      </c>
      <c r="I17">
        <f t="shared" si="23"/>
        <v>0.41639999999999994</v>
      </c>
      <c r="J17">
        <f t="shared" si="24"/>
        <v>1.7223999999999999</v>
      </c>
      <c r="K17" s="3">
        <v>0.39179999999999998</v>
      </c>
      <c r="L17" s="3">
        <v>0.39884999999999998</v>
      </c>
      <c r="M17">
        <f t="shared" si="25"/>
        <v>0</v>
      </c>
      <c r="P17">
        <f t="shared" si="14"/>
        <v>0</v>
      </c>
      <c r="Q17">
        <f t="shared" si="15"/>
        <v>0</v>
      </c>
      <c r="R17">
        <f t="shared" si="16"/>
        <v>0</v>
      </c>
      <c r="S17">
        <f t="shared" si="17"/>
        <v>0</v>
      </c>
      <c r="T17" t="e">
        <f t="shared" si="18"/>
        <v>#DIV/0!</v>
      </c>
      <c r="U17" t="e">
        <f t="shared" si="19"/>
        <v>#DIV/0!</v>
      </c>
      <c r="V17" t="e">
        <f t="shared" si="20"/>
        <v>#DIV/0!</v>
      </c>
      <c r="W17" t="e">
        <f t="shared" si="12"/>
        <v>#DIV/0!</v>
      </c>
    </row>
    <row r="18" spans="1:23" x14ac:dyDescent="0.35">
      <c r="A18" t="s">
        <v>14</v>
      </c>
      <c r="B18">
        <v>3</v>
      </c>
      <c r="C18" s="2" t="s">
        <v>28</v>
      </c>
      <c r="D18" t="s">
        <v>11</v>
      </c>
      <c r="F18" s="3">
        <v>0.68400000000000005</v>
      </c>
      <c r="G18">
        <f t="shared" si="21"/>
        <v>1.3680000000000001</v>
      </c>
      <c r="H18">
        <f t="shared" si="22"/>
        <v>0.6319999999999999</v>
      </c>
      <c r="I18">
        <f t="shared" si="23"/>
        <v>0.37919999999999993</v>
      </c>
      <c r="J18">
        <f t="shared" si="24"/>
        <v>1.7472000000000001</v>
      </c>
      <c r="K18" s="3">
        <v>0.41039999999999999</v>
      </c>
      <c r="L18" s="3">
        <v>0.39434999999999998</v>
      </c>
      <c r="M18">
        <f t="shared" si="25"/>
        <v>0</v>
      </c>
      <c r="P18">
        <f t="shared" si="14"/>
        <v>0</v>
      </c>
      <c r="Q18">
        <f t="shared" si="15"/>
        <v>0</v>
      </c>
      <c r="R18">
        <f t="shared" si="16"/>
        <v>0</v>
      </c>
      <c r="S18">
        <f t="shared" si="17"/>
        <v>0</v>
      </c>
      <c r="T18" t="e">
        <f t="shared" si="18"/>
        <v>#DIV/0!</v>
      </c>
      <c r="U18" t="e">
        <f t="shared" si="19"/>
        <v>#DIV/0!</v>
      </c>
      <c r="V18" t="e">
        <f t="shared" si="20"/>
        <v>#DIV/0!</v>
      </c>
      <c r="W18" t="e">
        <f t="shared" si="12"/>
        <v>#DIV/0!</v>
      </c>
    </row>
    <row r="19" spans="1:23" x14ac:dyDescent="0.35">
      <c r="A19" t="s">
        <v>14</v>
      </c>
      <c r="B19">
        <v>3</v>
      </c>
      <c r="C19" s="2" t="s">
        <v>28</v>
      </c>
      <c r="D19" t="s">
        <v>12</v>
      </c>
      <c r="E19">
        <v>0.85299999999999998</v>
      </c>
      <c r="F19" s="3">
        <v>0.52700000000000002</v>
      </c>
      <c r="G19">
        <f t="shared" si="21"/>
        <v>1.054</v>
      </c>
      <c r="H19">
        <f t="shared" si="22"/>
        <v>0.94599999999999995</v>
      </c>
      <c r="I19">
        <f t="shared" si="23"/>
        <v>0.56759999999999999</v>
      </c>
      <c r="J19">
        <f t="shared" si="24"/>
        <v>1.6215999999999999</v>
      </c>
      <c r="K19" s="3">
        <v>0.31619999999999998</v>
      </c>
      <c r="L19" s="3">
        <v>0.32129999999999997</v>
      </c>
      <c r="M19">
        <f t="shared" si="25"/>
        <v>0</v>
      </c>
      <c r="P19">
        <f t="shared" si="14"/>
        <v>0</v>
      </c>
      <c r="Q19">
        <f t="shared" si="15"/>
        <v>0</v>
      </c>
      <c r="R19">
        <f t="shared" si="16"/>
        <v>0</v>
      </c>
      <c r="S19">
        <f t="shared" si="17"/>
        <v>0</v>
      </c>
      <c r="T19" t="e">
        <f t="shared" si="18"/>
        <v>#DIV/0!</v>
      </c>
      <c r="U19" t="e">
        <f t="shared" si="19"/>
        <v>#DIV/0!</v>
      </c>
      <c r="V19" t="e">
        <f t="shared" si="20"/>
        <v>#DIV/0!</v>
      </c>
      <c r="W19" t="e">
        <f t="shared" si="12"/>
        <v>#DIV/0!</v>
      </c>
    </row>
    <row r="20" spans="1:23" x14ac:dyDescent="0.35">
      <c r="A20" t="s">
        <v>14</v>
      </c>
      <c r="B20">
        <v>3</v>
      </c>
      <c r="C20" s="2" t="s">
        <v>28</v>
      </c>
      <c r="D20" t="s">
        <v>9</v>
      </c>
      <c r="F20" s="3">
        <v>0.63500000000000001</v>
      </c>
      <c r="G20">
        <f t="shared" si="21"/>
        <v>1.27</v>
      </c>
      <c r="H20">
        <f t="shared" si="22"/>
        <v>0.73</v>
      </c>
      <c r="I20">
        <f t="shared" si="23"/>
        <v>0.438</v>
      </c>
      <c r="J20">
        <f t="shared" si="24"/>
        <v>1.708</v>
      </c>
      <c r="K20" s="3">
        <v>0.38100000000000001</v>
      </c>
      <c r="L20" s="3">
        <v>0.42104999999999998</v>
      </c>
      <c r="M20">
        <f t="shared" si="25"/>
        <v>0</v>
      </c>
      <c r="P20">
        <f t="shared" si="14"/>
        <v>0</v>
      </c>
      <c r="Q20">
        <f t="shared" si="15"/>
        <v>0</v>
      </c>
      <c r="R20">
        <f t="shared" si="16"/>
        <v>0</v>
      </c>
      <c r="S20">
        <f t="shared" si="17"/>
        <v>0</v>
      </c>
      <c r="T20" t="e">
        <f t="shared" si="18"/>
        <v>#DIV/0!</v>
      </c>
      <c r="U20" t="e">
        <f t="shared" si="19"/>
        <v>#DIV/0!</v>
      </c>
      <c r="V20" t="e">
        <f t="shared" si="20"/>
        <v>#DIV/0!</v>
      </c>
      <c r="W20" t="e">
        <f t="shared" si="12"/>
        <v>#DIV/0!</v>
      </c>
    </row>
    <row r="21" spans="1:23" x14ac:dyDescent="0.35">
      <c r="A21" t="s">
        <v>14</v>
      </c>
      <c r="B21">
        <v>3</v>
      </c>
      <c r="C21" s="2" t="s">
        <v>28</v>
      </c>
      <c r="D21" t="s">
        <v>13</v>
      </c>
      <c r="F21" s="3">
        <v>0.90700000000000003</v>
      </c>
      <c r="G21">
        <f t="shared" si="21"/>
        <v>1.8140000000000001</v>
      </c>
      <c r="H21">
        <f t="shared" si="22"/>
        <v>0.18599999999999994</v>
      </c>
      <c r="I21">
        <f t="shared" si="23"/>
        <v>0.11159999999999996</v>
      </c>
      <c r="J21">
        <f t="shared" si="24"/>
        <v>1.9256</v>
      </c>
      <c r="K21" s="3">
        <v>0.54420000000000002</v>
      </c>
      <c r="L21" s="3">
        <v>0.52875000000000005</v>
      </c>
      <c r="M21">
        <f t="shared" si="25"/>
        <v>0</v>
      </c>
      <c r="P21">
        <f t="shared" si="14"/>
        <v>0</v>
      </c>
      <c r="Q21">
        <f t="shared" si="15"/>
        <v>0</v>
      </c>
      <c r="R21">
        <f t="shared" si="16"/>
        <v>0</v>
      </c>
      <c r="S21">
        <f t="shared" si="17"/>
        <v>0</v>
      </c>
      <c r="T21" t="e">
        <f t="shared" si="18"/>
        <v>#DIV/0!</v>
      </c>
      <c r="U21" t="e">
        <f t="shared" si="19"/>
        <v>#DIV/0!</v>
      </c>
      <c r="V21" t="e">
        <f t="shared" si="20"/>
        <v>#DIV/0!</v>
      </c>
      <c r="W21" t="e">
        <f t="shared" si="12"/>
        <v>#DIV/0!</v>
      </c>
    </row>
    <row r="22" spans="1:23" x14ac:dyDescent="0.35">
      <c r="A22" t="s">
        <v>9</v>
      </c>
      <c r="B22">
        <v>4</v>
      </c>
      <c r="C22" s="2" t="s">
        <v>28</v>
      </c>
      <c r="D22" t="s">
        <v>10</v>
      </c>
      <c r="F22" s="3">
        <v>0.67300000000000004</v>
      </c>
      <c r="G22">
        <f t="shared" ref="G22:G85" si="26">F22*2</f>
        <v>1.3460000000000001</v>
      </c>
      <c r="H22">
        <f t="shared" ref="H22:H85" si="27">2-G22</f>
        <v>0.65399999999999991</v>
      </c>
      <c r="I22">
        <f t="shared" ref="I22:I85" si="28">H22*0.6</f>
        <v>0.39239999999999992</v>
      </c>
      <c r="J22">
        <f t="shared" ref="J22:J85" si="29">G22+I22</f>
        <v>1.7383999999999999</v>
      </c>
      <c r="K22" s="3">
        <v>0.40379999999999999</v>
      </c>
      <c r="L22" s="3">
        <v>0.39465</v>
      </c>
      <c r="M22">
        <f t="shared" si="25"/>
        <v>0</v>
      </c>
      <c r="P22">
        <f t="shared" si="14"/>
        <v>0</v>
      </c>
      <c r="Q22">
        <f t="shared" si="15"/>
        <v>0</v>
      </c>
      <c r="R22">
        <f t="shared" si="16"/>
        <v>0</v>
      </c>
      <c r="S22">
        <f t="shared" si="17"/>
        <v>0</v>
      </c>
      <c r="T22" t="e">
        <f t="shared" si="18"/>
        <v>#DIV/0!</v>
      </c>
      <c r="U22" t="e">
        <f t="shared" si="19"/>
        <v>#DIV/0!</v>
      </c>
      <c r="V22" t="e">
        <f t="shared" si="20"/>
        <v>#DIV/0!</v>
      </c>
      <c r="W22" t="e">
        <f t="shared" si="12"/>
        <v>#DIV/0!</v>
      </c>
    </row>
    <row r="23" spans="1:23" x14ac:dyDescent="0.35">
      <c r="A23" t="s">
        <v>9</v>
      </c>
      <c r="B23">
        <v>4</v>
      </c>
      <c r="C23" s="2" t="s">
        <v>28</v>
      </c>
      <c r="D23" t="s">
        <v>11</v>
      </c>
      <c r="F23" s="3">
        <v>0.80400000000000005</v>
      </c>
      <c r="G23">
        <f t="shared" si="26"/>
        <v>1.6080000000000001</v>
      </c>
      <c r="H23">
        <f t="shared" si="27"/>
        <v>0.3919999999999999</v>
      </c>
      <c r="I23">
        <f t="shared" si="28"/>
        <v>0.23519999999999994</v>
      </c>
      <c r="J23">
        <f t="shared" si="29"/>
        <v>1.8431999999999999</v>
      </c>
      <c r="K23" s="3">
        <v>0.4824</v>
      </c>
      <c r="L23" s="3">
        <v>0.39434999999999998</v>
      </c>
      <c r="M23">
        <f t="shared" si="25"/>
        <v>0</v>
      </c>
      <c r="P23">
        <f t="shared" si="14"/>
        <v>0</v>
      </c>
      <c r="Q23">
        <f t="shared" si="15"/>
        <v>0</v>
      </c>
      <c r="R23">
        <f t="shared" si="16"/>
        <v>0</v>
      </c>
      <c r="S23">
        <f t="shared" si="17"/>
        <v>0</v>
      </c>
      <c r="T23" t="e">
        <f t="shared" si="18"/>
        <v>#DIV/0!</v>
      </c>
      <c r="U23" t="e">
        <f t="shared" si="19"/>
        <v>#DIV/0!</v>
      </c>
      <c r="V23" t="e">
        <f t="shared" si="20"/>
        <v>#DIV/0!</v>
      </c>
      <c r="W23" t="e">
        <f t="shared" si="12"/>
        <v>#DIV/0!</v>
      </c>
    </row>
    <row r="24" spans="1:23" x14ac:dyDescent="0.35">
      <c r="A24" t="s">
        <v>9</v>
      </c>
      <c r="B24">
        <v>4</v>
      </c>
      <c r="C24" s="2" t="s">
        <v>28</v>
      </c>
      <c r="D24" t="s">
        <v>12</v>
      </c>
      <c r="E24">
        <v>0.84399999999999997</v>
      </c>
      <c r="F24" s="3">
        <v>0.39500000000000002</v>
      </c>
      <c r="G24">
        <f t="shared" si="26"/>
        <v>0.79</v>
      </c>
      <c r="H24">
        <f t="shared" si="27"/>
        <v>1.21</v>
      </c>
      <c r="I24">
        <f t="shared" si="28"/>
        <v>0.72599999999999998</v>
      </c>
      <c r="J24">
        <f t="shared" si="29"/>
        <v>1.516</v>
      </c>
      <c r="K24" s="3">
        <v>0.23699999999999999</v>
      </c>
      <c r="L24" s="3">
        <v>0.25395000000000001</v>
      </c>
      <c r="M24">
        <f t="shared" si="25"/>
        <v>0</v>
      </c>
      <c r="P24">
        <f t="shared" si="14"/>
        <v>0</v>
      </c>
      <c r="Q24">
        <f t="shared" si="15"/>
        <v>0</v>
      </c>
      <c r="R24">
        <f t="shared" si="16"/>
        <v>0</v>
      </c>
      <c r="S24">
        <f t="shared" si="17"/>
        <v>0</v>
      </c>
      <c r="T24" t="e">
        <f t="shared" si="18"/>
        <v>#DIV/0!</v>
      </c>
      <c r="U24" t="e">
        <f t="shared" si="19"/>
        <v>#DIV/0!</v>
      </c>
      <c r="V24" t="e">
        <f t="shared" si="20"/>
        <v>#DIV/0!</v>
      </c>
      <c r="W24" t="e">
        <f t="shared" si="12"/>
        <v>#DIV/0!</v>
      </c>
    </row>
    <row r="25" spans="1:23" x14ac:dyDescent="0.35">
      <c r="A25" t="s">
        <v>9</v>
      </c>
      <c r="B25">
        <v>4</v>
      </c>
      <c r="C25" s="2" t="s">
        <v>28</v>
      </c>
      <c r="D25" t="s">
        <v>9</v>
      </c>
      <c r="F25" s="3">
        <v>0.57099999999999995</v>
      </c>
      <c r="G25">
        <f t="shared" si="26"/>
        <v>1.1419999999999999</v>
      </c>
      <c r="H25">
        <f t="shared" si="27"/>
        <v>0.8580000000000001</v>
      </c>
      <c r="I25">
        <f t="shared" si="28"/>
        <v>0.51480000000000004</v>
      </c>
      <c r="J25">
        <f t="shared" si="29"/>
        <v>1.6568000000000001</v>
      </c>
      <c r="K25" s="3">
        <v>0.34260000000000002</v>
      </c>
      <c r="L25" s="3">
        <v>0.38550000000000001</v>
      </c>
      <c r="M25">
        <f t="shared" si="25"/>
        <v>0</v>
      </c>
      <c r="P25">
        <f t="shared" si="14"/>
        <v>0</v>
      </c>
      <c r="Q25">
        <f t="shared" si="15"/>
        <v>0</v>
      </c>
      <c r="R25">
        <f t="shared" si="16"/>
        <v>0</v>
      </c>
      <c r="S25">
        <f t="shared" si="17"/>
        <v>0</v>
      </c>
      <c r="T25" t="e">
        <f t="shared" si="18"/>
        <v>#DIV/0!</v>
      </c>
      <c r="U25" t="e">
        <f t="shared" si="19"/>
        <v>#DIV/0!</v>
      </c>
      <c r="V25" t="e">
        <f t="shared" si="20"/>
        <v>#DIV/0!</v>
      </c>
      <c r="W25" t="e">
        <f t="shared" si="12"/>
        <v>#DIV/0!</v>
      </c>
    </row>
    <row r="26" spans="1:23" x14ac:dyDescent="0.35">
      <c r="A26" t="s">
        <v>9</v>
      </c>
      <c r="B26">
        <v>4</v>
      </c>
      <c r="C26" s="2" t="s">
        <v>28</v>
      </c>
      <c r="D26" t="s">
        <v>13</v>
      </c>
      <c r="F26" s="3">
        <v>0.95</v>
      </c>
      <c r="G26">
        <f t="shared" si="26"/>
        <v>1.9</v>
      </c>
      <c r="H26">
        <f t="shared" si="27"/>
        <v>0.10000000000000009</v>
      </c>
      <c r="I26">
        <f t="shared" si="28"/>
        <v>6.0000000000000053E-2</v>
      </c>
      <c r="J26">
        <f t="shared" si="29"/>
        <v>1.96</v>
      </c>
      <c r="K26" s="3">
        <v>0.56999999999999995</v>
      </c>
      <c r="L26" s="3">
        <v>0.54074999999999995</v>
      </c>
      <c r="M26">
        <f t="shared" si="25"/>
        <v>0</v>
      </c>
      <c r="P26">
        <f t="shared" si="14"/>
        <v>0</v>
      </c>
      <c r="Q26">
        <f t="shared" si="15"/>
        <v>0</v>
      </c>
      <c r="R26">
        <f t="shared" si="16"/>
        <v>0</v>
      </c>
      <c r="S26">
        <f t="shared" si="17"/>
        <v>0</v>
      </c>
      <c r="T26" t="e">
        <f t="shared" si="18"/>
        <v>#DIV/0!</v>
      </c>
      <c r="U26" t="e">
        <f t="shared" si="19"/>
        <v>#DIV/0!</v>
      </c>
      <c r="V26" t="e">
        <f t="shared" si="20"/>
        <v>#DIV/0!</v>
      </c>
      <c r="W26" t="e">
        <f t="shared" si="12"/>
        <v>#DIV/0!</v>
      </c>
    </row>
    <row r="27" spans="1:23" x14ac:dyDescent="0.35">
      <c r="A27" t="s">
        <v>14</v>
      </c>
      <c r="B27">
        <v>4</v>
      </c>
      <c r="C27" s="2" t="s">
        <v>28</v>
      </c>
      <c r="D27" t="s">
        <v>10</v>
      </c>
      <c r="F27" s="3">
        <v>0.65300000000000002</v>
      </c>
      <c r="G27">
        <f t="shared" si="26"/>
        <v>1.306</v>
      </c>
      <c r="H27">
        <f t="shared" si="27"/>
        <v>0.69399999999999995</v>
      </c>
      <c r="I27">
        <f t="shared" si="28"/>
        <v>0.41639999999999994</v>
      </c>
      <c r="J27">
        <f t="shared" si="29"/>
        <v>1.7223999999999999</v>
      </c>
      <c r="K27" s="3">
        <v>0.39179999999999998</v>
      </c>
      <c r="L27" s="3">
        <v>0.39884999999999998</v>
      </c>
      <c r="M27">
        <f t="shared" si="25"/>
        <v>0</v>
      </c>
      <c r="P27">
        <f t="shared" si="14"/>
        <v>0</v>
      </c>
      <c r="Q27">
        <f t="shared" si="15"/>
        <v>0</v>
      </c>
      <c r="R27">
        <f t="shared" si="16"/>
        <v>0</v>
      </c>
      <c r="S27">
        <f t="shared" si="17"/>
        <v>0</v>
      </c>
      <c r="T27" t="e">
        <f t="shared" si="18"/>
        <v>#DIV/0!</v>
      </c>
      <c r="U27" t="e">
        <f t="shared" si="19"/>
        <v>#DIV/0!</v>
      </c>
      <c r="V27" t="e">
        <f t="shared" si="20"/>
        <v>#DIV/0!</v>
      </c>
      <c r="W27" t="e">
        <f t="shared" si="12"/>
        <v>#DIV/0!</v>
      </c>
    </row>
    <row r="28" spans="1:23" x14ac:dyDescent="0.35">
      <c r="A28" t="s">
        <v>14</v>
      </c>
      <c r="B28">
        <v>4</v>
      </c>
      <c r="C28" s="2" t="s">
        <v>28</v>
      </c>
      <c r="D28" t="s">
        <v>11</v>
      </c>
      <c r="F28" s="3">
        <v>0.68400000000000005</v>
      </c>
      <c r="G28">
        <f t="shared" si="26"/>
        <v>1.3680000000000001</v>
      </c>
      <c r="H28">
        <f t="shared" si="27"/>
        <v>0.6319999999999999</v>
      </c>
      <c r="I28">
        <f t="shared" si="28"/>
        <v>0.37919999999999993</v>
      </c>
      <c r="J28">
        <f t="shared" si="29"/>
        <v>1.7472000000000001</v>
      </c>
      <c r="K28" s="3">
        <v>0.41039999999999999</v>
      </c>
      <c r="L28" s="3">
        <v>0.39434999999999998</v>
      </c>
      <c r="M28">
        <f t="shared" si="25"/>
        <v>0</v>
      </c>
      <c r="P28">
        <f t="shared" si="14"/>
        <v>0</v>
      </c>
      <c r="Q28">
        <f t="shared" si="15"/>
        <v>0</v>
      </c>
      <c r="R28">
        <f t="shared" si="16"/>
        <v>0</v>
      </c>
      <c r="S28">
        <f t="shared" si="17"/>
        <v>0</v>
      </c>
      <c r="T28" t="e">
        <f t="shared" si="18"/>
        <v>#DIV/0!</v>
      </c>
      <c r="U28" t="e">
        <f t="shared" si="19"/>
        <v>#DIV/0!</v>
      </c>
      <c r="V28" t="e">
        <f t="shared" si="20"/>
        <v>#DIV/0!</v>
      </c>
      <c r="W28" t="e">
        <f t="shared" si="12"/>
        <v>#DIV/0!</v>
      </c>
    </row>
    <row r="29" spans="1:23" x14ac:dyDescent="0.35">
      <c r="A29" t="s">
        <v>14</v>
      </c>
      <c r="B29">
        <v>4</v>
      </c>
      <c r="C29" s="2" t="s">
        <v>28</v>
      </c>
      <c r="D29" t="s">
        <v>12</v>
      </c>
      <c r="E29">
        <v>0.85299999999999998</v>
      </c>
      <c r="F29" s="3">
        <v>0.52700000000000002</v>
      </c>
      <c r="G29">
        <f t="shared" si="26"/>
        <v>1.054</v>
      </c>
      <c r="H29">
        <f t="shared" si="27"/>
        <v>0.94599999999999995</v>
      </c>
      <c r="I29">
        <f t="shared" si="28"/>
        <v>0.56759999999999999</v>
      </c>
      <c r="J29">
        <f t="shared" si="29"/>
        <v>1.6215999999999999</v>
      </c>
      <c r="K29" s="3">
        <v>0.31619999999999998</v>
      </c>
      <c r="L29" s="3">
        <v>0.32129999999999997</v>
      </c>
      <c r="M29">
        <f t="shared" si="25"/>
        <v>0</v>
      </c>
      <c r="P29">
        <f t="shared" si="14"/>
        <v>0</v>
      </c>
      <c r="Q29">
        <f t="shared" si="15"/>
        <v>0</v>
      </c>
      <c r="R29">
        <f t="shared" si="16"/>
        <v>0</v>
      </c>
      <c r="S29">
        <f t="shared" si="17"/>
        <v>0</v>
      </c>
      <c r="T29" t="e">
        <f t="shared" si="18"/>
        <v>#DIV/0!</v>
      </c>
      <c r="U29" t="e">
        <f t="shared" si="19"/>
        <v>#DIV/0!</v>
      </c>
      <c r="V29" t="e">
        <f t="shared" si="20"/>
        <v>#DIV/0!</v>
      </c>
      <c r="W29" t="e">
        <f t="shared" si="12"/>
        <v>#DIV/0!</v>
      </c>
    </row>
    <row r="30" spans="1:23" x14ac:dyDescent="0.35">
      <c r="A30" t="s">
        <v>14</v>
      </c>
      <c r="B30">
        <v>4</v>
      </c>
      <c r="C30" s="2" t="s">
        <v>28</v>
      </c>
      <c r="D30" t="s">
        <v>9</v>
      </c>
      <c r="F30" s="3">
        <v>0.63500000000000001</v>
      </c>
      <c r="G30">
        <f t="shared" si="26"/>
        <v>1.27</v>
      </c>
      <c r="H30">
        <f t="shared" si="27"/>
        <v>0.73</v>
      </c>
      <c r="I30">
        <f t="shared" si="28"/>
        <v>0.438</v>
      </c>
      <c r="J30">
        <f t="shared" si="29"/>
        <v>1.708</v>
      </c>
      <c r="K30" s="3">
        <v>0.38100000000000001</v>
      </c>
      <c r="L30" s="3">
        <v>0.42104999999999998</v>
      </c>
      <c r="M30">
        <f t="shared" si="25"/>
        <v>0</v>
      </c>
      <c r="P30">
        <f t="shared" si="14"/>
        <v>0</v>
      </c>
      <c r="Q30">
        <f t="shared" si="15"/>
        <v>0</v>
      </c>
      <c r="R30">
        <f t="shared" si="16"/>
        <v>0</v>
      </c>
      <c r="S30">
        <f t="shared" si="17"/>
        <v>0</v>
      </c>
      <c r="T30" t="e">
        <f t="shared" si="18"/>
        <v>#DIV/0!</v>
      </c>
      <c r="U30" t="e">
        <f t="shared" si="19"/>
        <v>#DIV/0!</v>
      </c>
      <c r="V30" t="e">
        <f t="shared" si="20"/>
        <v>#DIV/0!</v>
      </c>
      <c r="W30" t="e">
        <f t="shared" si="12"/>
        <v>#DIV/0!</v>
      </c>
    </row>
    <row r="31" spans="1:23" x14ac:dyDescent="0.35">
      <c r="A31" t="s">
        <v>14</v>
      </c>
      <c r="B31">
        <v>4</v>
      </c>
      <c r="C31" s="2" t="s">
        <v>28</v>
      </c>
      <c r="D31" t="s">
        <v>13</v>
      </c>
      <c r="F31" s="3">
        <v>0.90700000000000003</v>
      </c>
      <c r="G31">
        <f t="shared" si="26"/>
        <v>1.8140000000000001</v>
      </c>
      <c r="H31">
        <f t="shared" si="27"/>
        <v>0.18599999999999994</v>
      </c>
      <c r="I31">
        <f t="shared" si="28"/>
        <v>0.11159999999999996</v>
      </c>
      <c r="J31">
        <f t="shared" si="29"/>
        <v>1.9256</v>
      </c>
      <c r="K31" s="3">
        <v>0.54420000000000002</v>
      </c>
      <c r="L31" s="3">
        <v>0.52875000000000005</v>
      </c>
      <c r="M31">
        <f t="shared" si="25"/>
        <v>0</v>
      </c>
      <c r="P31">
        <f t="shared" si="14"/>
        <v>0</v>
      </c>
      <c r="Q31">
        <f t="shared" si="15"/>
        <v>0</v>
      </c>
      <c r="R31">
        <f t="shared" si="16"/>
        <v>0</v>
      </c>
      <c r="S31">
        <f t="shared" si="17"/>
        <v>0</v>
      </c>
      <c r="T31" t="e">
        <f t="shared" si="18"/>
        <v>#DIV/0!</v>
      </c>
      <c r="U31" t="e">
        <f t="shared" si="19"/>
        <v>#DIV/0!</v>
      </c>
      <c r="V31" t="e">
        <f t="shared" si="20"/>
        <v>#DIV/0!</v>
      </c>
      <c r="W31" t="e">
        <f t="shared" si="12"/>
        <v>#DIV/0!</v>
      </c>
    </row>
    <row r="32" spans="1:23" x14ac:dyDescent="0.35">
      <c r="A32" t="s">
        <v>9</v>
      </c>
      <c r="B32">
        <v>5</v>
      </c>
      <c r="C32" s="2" t="s">
        <v>28</v>
      </c>
      <c r="D32" t="s">
        <v>10</v>
      </c>
      <c r="F32" s="3">
        <v>0.67300000000000004</v>
      </c>
      <c r="G32">
        <f t="shared" si="26"/>
        <v>1.3460000000000001</v>
      </c>
      <c r="H32">
        <f t="shared" si="27"/>
        <v>0.65399999999999991</v>
      </c>
      <c r="I32">
        <f t="shared" si="28"/>
        <v>0.39239999999999992</v>
      </c>
      <c r="J32">
        <f t="shared" si="29"/>
        <v>1.7383999999999999</v>
      </c>
      <c r="K32" s="3">
        <v>0.40379999999999999</v>
      </c>
      <c r="L32" s="3">
        <v>0.39465</v>
      </c>
      <c r="M32">
        <f t="shared" si="25"/>
        <v>0</v>
      </c>
      <c r="P32">
        <f t="shared" si="14"/>
        <v>0</v>
      </c>
      <c r="Q32">
        <f t="shared" si="15"/>
        <v>0</v>
      </c>
      <c r="R32">
        <f t="shared" si="16"/>
        <v>0</v>
      </c>
      <c r="S32">
        <f t="shared" si="17"/>
        <v>0</v>
      </c>
      <c r="T32" t="e">
        <f t="shared" si="18"/>
        <v>#DIV/0!</v>
      </c>
      <c r="U32" t="e">
        <f t="shared" si="19"/>
        <v>#DIV/0!</v>
      </c>
      <c r="V32" t="e">
        <f t="shared" si="20"/>
        <v>#DIV/0!</v>
      </c>
      <c r="W32" t="e">
        <f t="shared" si="12"/>
        <v>#DIV/0!</v>
      </c>
    </row>
    <row r="33" spans="1:23" x14ac:dyDescent="0.35">
      <c r="A33" t="s">
        <v>9</v>
      </c>
      <c r="B33">
        <v>5</v>
      </c>
      <c r="C33" s="2" t="s">
        <v>28</v>
      </c>
      <c r="D33" t="s">
        <v>11</v>
      </c>
      <c r="F33" s="3">
        <v>0.80400000000000005</v>
      </c>
      <c r="G33">
        <f t="shared" si="26"/>
        <v>1.6080000000000001</v>
      </c>
      <c r="H33">
        <f t="shared" si="27"/>
        <v>0.3919999999999999</v>
      </c>
      <c r="I33">
        <f t="shared" si="28"/>
        <v>0.23519999999999994</v>
      </c>
      <c r="J33">
        <f t="shared" si="29"/>
        <v>1.8431999999999999</v>
      </c>
      <c r="K33" s="3">
        <v>0.4824</v>
      </c>
      <c r="L33" s="3">
        <v>0.39434999999999998</v>
      </c>
      <c r="M33">
        <f t="shared" si="25"/>
        <v>0</v>
      </c>
      <c r="P33">
        <f t="shared" si="14"/>
        <v>0</v>
      </c>
      <c r="Q33">
        <f t="shared" si="15"/>
        <v>0</v>
      </c>
      <c r="R33">
        <f t="shared" si="16"/>
        <v>0</v>
      </c>
      <c r="S33">
        <f t="shared" si="17"/>
        <v>0</v>
      </c>
      <c r="T33" t="e">
        <f t="shared" si="18"/>
        <v>#DIV/0!</v>
      </c>
      <c r="U33" t="e">
        <f t="shared" si="19"/>
        <v>#DIV/0!</v>
      </c>
      <c r="V33" t="e">
        <f t="shared" si="20"/>
        <v>#DIV/0!</v>
      </c>
      <c r="W33" t="e">
        <f t="shared" si="12"/>
        <v>#DIV/0!</v>
      </c>
    </row>
    <row r="34" spans="1:23" x14ac:dyDescent="0.35">
      <c r="A34" t="s">
        <v>9</v>
      </c>
      <c r="B34">
        <v>5</v>
      </c>
      <c r="C34" s="2" t="s">
        <v>28</v>
      </c>
      <c r="D34" t="s">
        <v>12</v>
      </c>
      <c r="E34">
        <v>0.84399999999999997</v>
      </c>
      <c r="F34" s="3">
        <v>0.39500000000000002</v>
      </c>
      <c r="G34">
        <f t="shared" si="26"/>
        <v>0.79</v>
      </c>
      <c r="H34">
        <f t="shared" si="27"/>
        <v>1.21</v>
      </c>
      <c r="I34">
        <f t="shared" si="28"/>
        <v>0.72599999999999998</v>
      </c>
      <c r="J34">
        <f t="shared" si="29"/>
        <v>1.516</v>
      </c>
      <c r="K34" s="3">
        <v>0.23699999999999999</v>
      </c>
      <c r="L34" s="3">
        <v>0.25395000000000001</v>
      </c>
      <c r="M34">
        <f t="shared" si="25"/>
        <v>0</v>
      </c>
      <c r="P34">
        <f t="shared" si="14"/>
        <v>0</v>
      </c>
      <c r="Q34">
        <f t="shared" si="15"/>
        <v>0</v>
      </c>
      <c r="R34">
        <f t="shared" si="16"/>
        <v>0</v>
      </c>
      <c r="S34">
        <f t="shared" si="17"/>
        <v>0</v>
      </c>
      <c r="T34" t="e">
        <f t="shared" si="18"/>
        <v>#DIV/0!</v>
      </c>
      <c r="U34" t="e">
        <f t="shared" si="19"/>
        <v>#DIV/0!</v>
      </c>
      <c r="V34" t="e">
        <f t="shared" si="20"/>
        <v>#DIV/0!</v>
      </c>
      <c r="W34" t="e">
        <f t="shared" si="12"/>
        <v>#DIV/0!</v>
      </c>
    </row>
    <row r="35" spans="1:23" x14ac:dyDescent="0.35">
      <c r="A35" t="s">
        <v>9</v>
      </c>
      <c r="B35">
        <v>5</v>
      </c>
      <c r="C35" s="2" t="s">
        <v>28</v>
      </c>
      <c r="D35" t="s">
        <v>9</v>
      </c>
      <c r="F35" s="3">
        <v>0.57099999999999995</v>
      </c>
      <c r="G35">
        <f t="shared" si="26"/>
        <v>1.1419999999999999</v>
      </c>
      <c r="H35">
        <f t="shared" si="27"/>
        <v>0.8580000000000001</v>
      </c>
      <c r="I35">
        <f t="shared" si="28"/>
        <v>0.51480000000000004</v>
      </c>
      <c r="J35">
        <f t="shared" si="29"/>
        <v>1.6568000000000001</v>
      </c>
      <c r="K35" s="3">
        <v>0.34260000000000002</v>
      </c>
      <c r="L35" s="3">
        <v>0.38550000000000001</v>
      </c>
      <c r="M35">
        <f t="shared" si="25"/>
        <v>0</v>
      </c>
      <c r="P35">
        <f t="shared" si="14"/>
        <v>0</v>
      </c>
      <c r="Q35">
        <f t="shared" si="15"/>
        <v>0</v>
      </c>
      <c r="R35">
        <f t="shared" si="16"/>
        <v>0</v>
      </c>
      <c r="S35">
        <f t="shared" si="17"/>
        <v>0</v>
      </c>
      <c r="T35" t="e">
        <f t="shared" si="18"/>
        <v>#DIV/0!</v>
      </c>
      <c r="U35" t="e">
        <f t="shared" si="19"/>
        <v>#DIV/0!</v>
      </c>
      <c r="V35" t="e">
        <f t="shared" si="20"/>
        <v>#DIV/0!</v>
      </c>
      <c r="W35" t="e">
        <f t="shared" si="12"/>
        <v>#DIV/0!</v>
      </c>
    </row>
    <row r="36" spans="1:23" x14ac:dyDescent="0.35">
      <c r="A36" t="s">
        <v>9</v>
      </c>
      <c r="B36">
        <v>5</v>
      </c>
      <c r="C36" s="2" t="s">
        <v>28</v>
      </c>
      <c r="D36" t="s">
        <v>13</v>
      </c>
      <c r="F36" s="3">
        <v>0.95</v>
      </c>
      <c r="G36">
        <f t="shared" si="26"/>
        <v>1.9</v>
      </c>
      <c r="H36">
        <f t="shared" si="27"/>
        <v>0.10000000000000009</v>
      </c>
      <c r="I36">
        <f t="shared" si="28"/>
        <v>6.0000000000000053E-2</v>
      </c>
      <c r="J36">
        <f t="shared" si="29"/>
        <v>1.96</v>
      </c>
      <c r="K36" s="3">
        <v>0.56999999999999995</v>
      </c>
      <c r="L36" s="3">
        <v>0.54074999999999995</v>
      </c>
      <c r="M36">
        <f t="shared" si="25"/>
        <v>0</v>
      </c>
      <c r="P36">
        <f t="shared" si="14"/>
        <v>0</v>
      </c>
      <c r="Q36">
        <f t="shared" si="15"/>
        <v>0</v>
      </c>
      <c r="R36">
        <f t="shared" si="16"/>
        <v>0</v>
      </c>
      <c r="S36">
        <f t="shared" si="17"/>
        <v>0</v>
      </c>
      <c r="T36" t="e">
        <f t="shared" si="18"/>
        <v>#DIV/0!</v>
      </c>
      <c r="U36" t="e">
        <f t="shared" si="19"/>
        <v>#DIV/0!</v>
      </c>
      <c r="V36" t="e">
        <f t="shared" si="20"/>
        <v>#DIV/0!</v>
      </c>
      <c r="W36" t="e">
        <f t="shared" si="12"/>
        <v>#DIV/0!</v>
      </c>
    </row>
    <row r="37" spans="1:23" x14ac:dyDescent="0.35">
      <c r="A37" t="s">
        <v>14</v>
      </c>
      <c r="B37">
        <v>5</v>
      </c>
      <c r="C37" s="2" t="s">
        <v>28</v>
      </c>
      <c r="D37" t="s">
        <v>10</v>
      </c>
      <c r="F37" s="3">
        <v>0.65300000000000002</v>
      </c>
      <c r="G37">
        <f t="shared" si="26"/>
        <v>1.306</v>
      </c>
      <c r="H37">
        <f t="shared" si="27"/>
        <v>0.69399999999999995</v>
      </c>
      <c r="I37">
        <f t="shared" si="28"/>
        <v>0.41639999999999994</v>
      </c>
      <c r="J37">
        <f t="shared" si="29"/>
        <v>1.7223999999999999</v>
      </c>
      <c r="K37" s="3">
        <v>0.39179999999999998</v>
      </c>
      <c r="L37" s="3">
        <v>0.39884999999999998</v>
      </c>
      <c r="M37">
        <f t="shared" si="25"/>
        <v>0</v>
      </c>
      <c r="P37">
        <f t="shared" si="14"/>
        <v>0</v>
      </c>
      <c r="Q37">
        <f t="shared" si="15"/>
        <v>0</v>
      </c>
      <c r="R37">
        <f t="shared" si="16"/>
        <v>0</v>
      </c>
      <c r="S37">
        <f t="shared" si="17"/>
        <v>0</v>
      </c>
      <c r="T37" t="e">
        <f t="shared" si="18"/>
        <v>#DIV/0!</v>
      </c>
      <c r="U37" t="e">
        <f t="shared" si="19"/>
        <v>#DIV/0!</v>
      </c>
      <c r="V37" t="e">
        <f t="shared" si="20"/>
        <v>#DIV/0!</v>
      </c>
      <c r="W37" t="e">
        <f t="shared" si="12"/>
        <v>#DIV/0!</v>
      </c>
    </row>
    <row r="38" spans="1:23" x14ac:dyDescent="0.35">
      <c r="A38" t="s">
        <v>14</v>
      </c>
      <c r="B38">
        <v>5</v>
      </c>
      <c r="C38" s="2" t="s">
        <v>28</v>
      </c>
      <c r="D38" t="s">
        <v>11</v>
      </c>
      <c r="F38" s="3">
        <v>0.68400000000000005</v>
      </c>
      <c r="G38">
        <f t="shared" si="26"/>
        <v>1.3680000000000001</v>
      </c>
      <c r="H38">
        <f t="shared" si="27"/>
        <v>0.6319999999999999</v>
      </c>
      <c r="I38">
        <f t="shared" si="28"/>
        <v>0.37919999999999993</v>
      </c>
      <c r="J38">
        <f t="shared" si="29"/>
        <v>1.7472000000000001</v>
      </c>
      <c r="K38" s="3">
        <v>0.41039999999999999</v>
      </c>
      <c r="L38" s="3">
        <v>0.39434999999999998</v>
      </c>
      <c r="M38">
        <f t="shared" si="25"/>
        <v>0</v>
      </c>
      <c r="P38">
        <f t="shared" si="14"/>
        <v>0</v>
      </c>
      <c r="Q38">
        <f t="shared" si="15"/>
        <v>0</v>
      </c>
      <c r="R38">
        <f t="shared" si="16"/>
        <v>0</v>
      </c>
      <c r="S38">
        <f t="shared" si="17"/>
        <v>0</v>
      </c>
      <c r="T38" t="e">
        <f t="shared" si="18"/>
        <v>#DIV/0!</v>
      </c>
      <c r="U38" t="e">
        <f t="shared" si="19"/>
        <v>#DIV/0!</v>
      </c>
      <c r="V38" t="e">
        <f t="shared" si="20"/>
        <v>#DIV/0!</v>
      </c>
      <c r="W38" t="e">
        <f t="shared" si="12"/>
        <v>#DIV/0!</v>
      </c>
    </row>
    <row r="39" spans="1:23" x14ac:dyDescent="0.35">
      <c r="A39" t="s">
        <v>14</v>
      </c>
      <c r="B39">
        <v>5</v>
      </c>
      <c r="C39" s="2" t="s">
        <v>28</v>
      </c>
      <c r="D39" t="s">
        <v>12</v>
      </c>
      <c r="E39">
        <v>0.85299999999999998</v>
      </c>
      <c r="F39" s="3">
        <v>0.52700000000000002</v>
      </c>
      <c r="G39">
        <f t="shared" si="26"/>
        <v>1.054</v>
      </c>
      <c r="H39">
        <f t="shared" si="27"/>
        <v>0.94599999999999995</v>
      </c>
      <c r="I39">
        <f t="shared" si="28"/>
        <v>0.56759999999999999</v>
      </c>
      <c r="J39">
        <f t="shared" si="29"/>
        <v>1.6215999999999999</v>
      </c>
      <c r="K39" s="3">
        <v>0.31619999999999998</v>
      </c>
      <c r="L39" s="3">
        <v>0.32129999999999997</v>
      </c>
      <c r="M39">
        <f t="shared" si="25"/>
        <v>0</v>
      </c>
      <c r="P39">
        <f t="shared" si="14"/>
        <v>0</v>
      </c>
      <c r="Q39">
        <f t="shared" si="15"/>
        <v>0</v>
      </c>
      <c r="R39">
        <f t="shared" si="16"/>
        <v>0</v>
      </c>
      <c r="S39">
        <f t="shared" si="17"/>
        <v>0</v>
      </c>
      <c r="T39" t="e">
        <f t="shared" si="18"/>
        <v>#DIV/0!</v>
      </c>
      <c r="U39" t="e">
        <f t="shared" si="19"/>
        <v>#DIV/0!</v>
      </c>
      <c r="V39" t="e">
        <f t="shared" si="20"/>
        <v>#DIV/0!</v>
      </c>
      <c r="W39" t="e">
        <f t="shared" si="12"/>
        <v>#DIV/0!</v>
      </c>
    </row>
    <row r="40" spans="1:23" x14ac:dyDescent="0.35">
      <c r="A40" t="s">
        <v>14</v>
      </c>
      <c r="B40">
        <v>5</v>
      </c>
      <c r="C40" s="2" t="s">
        <v>28</v>
      </c>
      <c r="D40" t="s">
        <v>9</v>
      </c>
      <c r="F40" s="3">
        <v>0.63500000000000001</v>
      </c>
      <c r="G40">
        <f t="shared" si="26"/>
        <v>1.27</v>
      </c>
      <c r="H40">
        <f t="shared" si="27"/>
        <v>0.73</v>
      </c>
      <c r="I40">
        <f t="shared" si="28"/>
        <v>0.438</v>
      </c>
      <c r="J40">
        <f t="shared" si="29"/>
        <v>1.708</v>
      </c>
      <c r="K40" s="3">
        <v>0.38100000000000001</v>
      </c>
      <c r="L40" s="3">
        <v>0.42104999999999998</v>
      </c>
      <c r="M40">
        <f t="shared" si="25"/>
        <v>0</v>
      </c>
      <c r="P40">
        <f t="shared" si="14"/>
        <v>0</v>
      </c>
      <c r="Q40">
        <f t="shared" si="15"/>
        <v>0</v>
      </c>
      <c r="R40">
        <f t="shared" si="16"/>
        <v>0</v>
      </c>
      <c r="S40">
        <f t="shared" si="17"/>
        <v>0</v>
      </c>
      <c r="T40" t="e">
        <f t="shared" si="18"/>
        <v>#DIV/0!</v>
      </c>
      <c r="U40" t="e">
        <f t="shared" si="19"/>
        <v>#DIV/0!</v>
      </c>
      <c r="V40" t="e">
        <f t="shared" si="20"/>
        <v>#DIV/0!</v>
      </c>
      <c r="W40" t="e">
        <f t="shared" si="12"/>
        <v>#DIV/0!</v>
      </c>
    </row>
    <row r="41" spans="1:23" x14ac:dyDescent="0.35">
      <c r="A41" t="s">
        <v>14</v>
      </c>
      <c r="B41">
        <v>5</v>
      </c>
      <c r="C41" s="2" t="s">
        <v>28</v>
      </c>
      <c r="D41" t="s">
        <v>13</v>
      </c>
      <c r="F41" s="3">
        <v>0.90700000000000003</v>
      </c>
      <c r="G41">
        <f t="shared" si="26"/>
        <v>1.8140000000000001</v>
      </c>
      <c r="H41">
        <f t="shared" si="27"/>
        <v>0.18599999999999994</v>
      </c>
      <c r="I41">
        <f t="shared" si="28"/>
        <v>0.11159999999999996</v>
      </c>
      <c r="J41">
        <f t="shared" si="29"/>
        <v>1.9256</v>
      </c>
      <c r="K41" s="3">
        <v>0.54420000000000002</v>
      </c>
      <c r="L41" s="3">
        <v>0.52875000000000005</v>
      </c>
      <c r="M41">
        <f t="shared" si="25"/>
        <v>0</v>
      </c>
      <c r="P41">
        <f t="shared" si="14"/>
        <v>0</v>
      </c>
      <c r="Q41">
        <f t="shared" si="15"/>
        <v>0</v>
      </c>
      <c r="R41">
        <f t="shared" si="16"/>
        <v>0</v>
      </c>
      <c r="S41">
        <f t="shared" si="17"/>
        <v>0</v>
      </c>
      <c r="T41" t="e">
        <f t="shared" si="18"/>
        <v>#DIV/0!</v>
      </c>
      <c r="U41" t="e">
        <f t="shared" si="19"/>
        <v>#DIV/0!</v>
      </c>
      <c r="V41" t="e">
        <f t="shared" si="20"/>
        <v>#DIV/0!</v>
      </c>
      <c r="W41" t="e">
        <f t="shared" si="12"/>
        <v>#DIV/0!</v>
      </c>
    </row>
    <row r="42" spans="1:23" x14ac:dyDescent="0.35">
      <c r="A42" t="s">
        <v>9</v>
      </c>
      <c r="B42">
        <v>6</v>
      </c>
      <c r="C42" s="2" t="s">
        <v>28</v>
      </c>
      <c r="D42" t="s">
        <v>10</v>
      </c>
      <c r="F42" s="3">
        <v>0.67300000000000004</v>
      </c>
      <c r="G42">
        <f t="shared" si="26"/>
        <v>1.3460000000000001</v>
      </c>
      <c r="H42">
        <f t="shared" si="27"/>
        <v>0.65399999999999991</v>
      </c>
      <c r="I42">
        <f t="shared" si="28"/>
        <v>0.39239999999999992</v>
      </c>
      <c r="J42">
        <f t="shared" si="29"/>
        <v>1.7383999999999999</v>
      </c>
      <c r="K42" s="3">
        <v>0.40379999999999999</v>
      </c>
      <c r="L42" s="3">
        <v>0.39465</v>
      </c>
      <c r="M42">
        <f t="shared" si="25"/>
        <v>0</v>
      </c>
      <c r="P42">
        <f t="shared" si="14"/>
        <v>0</v>
      </c>
      <c r="Q42">
        <f t="shared" si="15"/>
        <v>0</v>
      </c>
      <c r="R42">
        <f t="shared" si="16"/>
        <v>0</v>
      </c>
      <c r="S42">
        <f t="shared" si="17"/>
        <v>0</v>
      </c>
      <c r="T42" t="e">
        <f t="shared" si="18"/>
        <v>#DIV/0!</v>
      </c>
      <c r="U42" t="e">
        <f t="shared" si="19"/>
        <v>#DIV/0!</v>
      </c>
      <c r="V42" t="e">
        <f t="shared" si="20"/>
        <v>#DIV/0!</v>
      </c>
      <c r="W42" t="e">
        <f t="shared" si="12"/>
        <v>#DIV/0!</v>
      </c>
    </row>
    <row r="43" spans="1:23" x14ac:dyDescent="0.35">
      <c r="A43" t="s">
        <v>9</v>
      </c>
      <c r="B43">
        <v>6</v>
      </c>
      <c r="C43" s="2" t="s">
        <v>28</v>
      </c>
      <c r="D43" t="s">
        <v>11</v>
      </c>
      <c r="F43" s="3">
        <v>0.80400000000000005</v>
      </c>
      <c r="G43">
        <f t="shared" si="26"/>
        <v>1.6080000000000001</v>
      </c>
      <c r="H43">
        <f t="shared" si="27"/>
        <v>0.3919999999999999</v>
      </c>
      <c r="I43">
        <f t="shared" si="28"/>
        <v>0.23519999999999994</v>
      </c>
      <c r="J43">
        <f t="shared" si="29"/>
        <v>1.8431999999999999</v>
      </c>
      <c r="K43" s="3">
        <v>0.4824</v>
      </c>
      <c r="L43" s="3">
        <v>0.39434999999999998</v>
      </c>
      <c r="M43">
        <f t="shared" si="25"/>
        <v>0</v>
      </c>
      <c r="P43">
        <f t="shared" si="14"/>
        <v>0</v>
      </c>
      <c r="Q43">
        <f t="shared" si="15"/>
        <v>0</v>
      </c>
      <c r="R43">
        <f t="shared" si="16"/>
        <v>0</v>
      </c>
      <c r="S43">
        <f t="shared" si="17"/>
        <v>0</v>
      </c>
      <c r="T43" t="e">
        <f t="shared" si="18"/>
        <v>#DIV/0!</v>
      </c>
      <c r="U43" t="e">
        <f t="shared" si="19"/>
        <v>#DIV/0!</v>
      </c>
      <c r="V43" t="e">
        <f t="shared" si="20"/>
        <v>#DIV/0!</v>
      </c>
      <c r="W43" t="e">
        <f t="shared" si="12"/>
        <v>#DIV/0!</v>
      </c>
    </row>
    <row r="44" spans="1:23" x14ac:dyDescent="0.35">
      <c r="A44" t="s">
        <v>9</v>
      </c>
      <c r="B44">
        <v>6</v>
      </c>
      <c r="C44" s="2" t="s">
        <v>28</v>
      </c>
      <c r="D44" t="s">
        <v>12</v>
      </c>
      <c r="E44">
        <v>0.84399999999999997</v>
      </c>
      <c r="F44" s="3">
        <v>0.39500000000000002</v>
      </c>
      <c r="G44">
        <f t="shared" si="26"/>
        <v>0.79</v>
      </c>
      <c r="H44">
        <f t="shared" si="27"/>
        <v>1.21</v>
      </c>
      <c r="I44">
        <f t="shared" si="28"/>
        <v>0.72599999999999998</v>
      </c>
      <c r="J44">
        <f t="shared" si="29"/>
        <v>1.516</v>
      </c>
      <c r="K44" s="3">
        <v>0.23699999999999999</v>
      </c>
      <c r="L44" s="3">
        <v>0.25395000000000001</v>
      </c>
      <c r="M44">
        <f t="shared" si="25"/>
        <v>0</v>
      </c>
      <c r="P44">
        <f t="shared" si="14"/>
        <v>0</v>
      </c>
      <c r="Q44">
        <f t="shared" si="15"/>
        <v>0</v>
      </c>
      <c r="R44">
        <f t="shared" si="16"/>
        <v>0</v>
      </c>
      <c r="S44">
        <f t="shared" si="17"/>
        <v>0</v>
      </c>
      <c r="T44" t="e">
        <f t="shared" si="18"/>
        <v>#DIV/0!</v>
      </c>
      <c r="U44" t="e">
        <f t="shared" si="19"/>
        <v>#DIV/0!</v>
      </c>
      <c r="V44" t="e">
        <f t="shared" si="20"/>
        <v>#DIV/0!</v>
      </c>
      <c r="W44" t="e">
        <f t="shared" si="12"/>
        <v>#DIV/0!</v>
      </c>
    </row>
    <row r="45" spans="1:23" x14ac:dyDescent="0.35">
      <c r="A45" t="s">
        <v>9</v>
      </c>
      <c r="B45">
        <v>6</v>
      </c>
      <c r="C45" s="2" t="s">
        <v>28</v>
      </c>
      <c r="D45" t="s">
        <v>9</v>
      </c>
      <c r="F45" s="3">
        <v>0.57099999999999995</v>
      </c>
      <c r="G45">
        <f t="shared" si="26"/>
        <v>1.1419999999999999</v>
      </c>
      <c r="H45">
        <f t="shared" si="27"/>
        <v>0.8580000000000001</v>
      </c>
      <c r="I45">
        <f t="shared" si="28"/>
        <v>0.51480000000000004</v>
      </c>
      <c r="J45">
        <f t="shared" si="29"/>
        <v>1.6568000000000001</v>
      </c>
      <c r="K45" s="3">
        <v>0.34260000000000002</v>
      </c>
      <c r="L45" s="3">
        <v>0.38550000000000001</v>
      </c>
      <c r="M45">
        <f t="shared" si="25"/>
        <v>0</v>
      </c>
      <c r="P45">
        <f t="shared" si="14"/>
        <v>0</v>
      </c>
      <c r="Q45">
        <f t="shared" si="15"/>
        <v>0</v>
      </c>
      <c r="R45">
        <f t="shared" si="16"/>
        <v>0</v>
      </c>
      <c r="S45">
        <f t="shared" si="17"/>
        <v>0</v>
      </c>
      <c r="T45" t="e">
        <f t="shared" si="18"/>
        <v>#DIV/0!</v>
      </c>
      <c r="U45" t="e">
        <f t="shared" si="19"/>
        <v>#DIV/0!</v>
      </c>
      <c r="V45" t="e">
        <f t="shared" si="20"/>
        <v>#DIV/0!</v>
      </c>
      <c r="W45" t="e">
        <f t="shared" si="12"/>
        <v>#DIV/0!</v>
      </c>
    </row>
    <row r="46" spans="1:23" x14ac:dyDescent="0.35">
      <c r="A46" t="s">
        <v>9</v>
      </c>
      <c r="B46">
        <v>6</v>
      </c>
      <c r="C46" s="2" t="s">
        <v>28</v>
      </c>
      <c r="D46" t="s">
        <v>13</v>
      </c>
      <c r="F46" s="3">
        <v>0.95</v>
      </c>
      <c r="G46">
        <f t="shared" si="26"/>
        <v>1.9</v>
      </c>
      <c r="H46">
        <f t="shared" si="27"/>
        <v>0.10000000000000009</v>
      </c>
      <c r="I46">
        <f t="shared" si="28"/>
        <v>6.0000000000000053E-2</v>
      </c>
      <c r="J46">
        <f t="shared" si="29"/>
        <v>1.96</v>
      </c>
      <c r="K46" s="3">
        <v>0.56999999999999995</v>
      </c>
      <c r="L46" s="3">
        <v>0.54074999999999995</v>
      </c>
      <c r="M46">
        <f t="shared" si="25"/>
        <v>0</v>
      </c>
      <c r="P46">
        <f t="shared" si="14"/>
        <v>0</v>
      </c>
      <c r="Q46">
        <f t="shared" si="15"/>
        <v>0</v>
      </c>
      <c r="R46">
        <f t="shared" si="16"/>
        <v>0</v>
      </c>
      <c r="S46">
        <f t="shared" si="17"/>
        <v>0</v>
      </c>
      <c r="T46" t="e">
        <f t="shared" si="18"/>
        <v>#DIV/0!</v>
      </c>
      <c r="U46" t="e">
        <f t="shared" si="19"/>
        <v>#DIV/0!</v>
      </c>
      <c r="V46" t="e">
        <f t="shared" si="20"/>
        <v>#DIV/0!</v>
      </c>
      <c r="W46" t="e">
        <f t="shared" si="12"/>
        <v>#DIV/0!</v>
      </c>
    </row>
    <row r="47" spans="1:23" x14ac:dyDescent="0.35">
      <c r="A47" t="s">
        <v>14</v>
      </c>
      <c r="B47">
        <v>6</v>
      </c>
      <c r="C47" s="2" t="s">
        <v>28</v>
      </c>
      <c r="D47" t="s">
        <v>10</v>
      </c>
      <c r="F47" s="3">
        <v>0.65300000000000002</v>
      </c>
      <c r="G47">
        <f t="shared" si="26"/>
        <v>1.306</v>
      </c>
      <c r="H47">
        <f t="shared" si="27"/>
        <v>0.69399999999999995</v>
      </c>
      <c r="I47">
        <f t="shared" si="28"/>
        <v>0.41639999999999994</v>
      </c>
      <c r="J47">
        <f t="shared" si="29"/>
        <v>1.7223999999999999</v>
      </c>
      <c r="K47" s="3">
        <v>0.39179999999999998</v>
      </c>
      <c r="L47" s="3">
        <v>0.39884999999999998</v>
      </c>
      <c r="M47">
        <f t="shared" si="25"/>
        <v>0</v>
      </c>
      <c r="P47">
        <f t="shared" si="14"/>
        <v>0</v>
      </c>
      <c r="Q47">
        <f t="shared" si="15"/>
        <v>0</v>
      </c>
      <c r="R47">
        <f t="shared" si="16"/>
        <v>0</v>
      </c>
      <c r="S47">
        <f t="shared" si="17"/>
        <v>0</v>
      </c>
      <c r="T47" t="e">
        <f t="shared" si="18"/>
        <v>#DIV/0!</v>
      </c>
      <c r="U47" t="e">
        <f t="shared" si="19"/>
        <v>#DIV/0!</v>
      </c>
      <c r="V47" t="e">
        <f t="shared" si="20"/>
        <v>#DIV/0!</v>
      </c>
      <c r="W47" t="e">
        <f t="shared" si="12"/>
        <v>#DIV/0!</v>
      </c>
    </row>
    <row r="48" spans="1:23" x14ac:dyDescent="0.35">
      <c r="A48" t="s">
        <v>14</v>
      </c>
      <c r="B48">
        <v>6</v>
      </c>
      <c r="C48" s="2" t="s">
        <v>28</v>
      </c>
      <c r="D48" t="s">
        <v>11</v>
      </c>
      <c r="F48" s="3">
        <v>0.68400000000000005</v>
      </c>
      <c r="G48">
        <f t="shared" si="26"/>
        <v>1.3680000000000001</v>
      </c>
      <c r="H48">
        <f t="shared" si="27"/>
        <v>0.6319999999999999</v>
      </c>
      <c r="I48">
        <f t="shared" si="28"/>
        <v>0.37919999999999993</v>
      </c>
      <c r="J48">
        <f t="shared" si="29"/>
        <v>1.7472000000000001</v>
      </c>
      <c r="K48" s="3">
        <v>0.41039999999999999</v>
      </c>
      <c r="L48" s="3">
        <v>0.39434999999999998</v>
      </c>
      <c r="M48">
        <f t="shared" si="25"/>
        <v>0</v>
      </c>
      <c r="P48">
        <f t="shared" si="14"/>
        <v>0</v>
      </c>
      <c r="Q48">
        <f t="shared" si="15"/>
        <v>0</v>
      </c>
      <c r="R48">
        <f t="shared" si="16"/>
        <v>0</v>
      </c>
      <c r="S48">
        <f t="shared" si="17"/>
        <v>0</v>
      </c>
      <c r="T48" t="e">
        <f t="shared" si="18"/>
        <v>#DIV/0!</v>
      </c>
      <c r="U48" t="e">
        <f t="shared" si="19"/>
        <v>#DIV/0!</v>
      </c>
      <c r="V48" t="e">
        <f t="shared" si="20"/>
        <v>#DIV/0!</v>
      </c>
      <c r="W48" t="e">
        <f t="shared" si="12"/>
        <v>#DIV/0!</v>
      </c>
    </row>
    <row r="49" spans="1:23" x14ac:dyDescent="0.35">
      <c r="A49" t="s">
        <v>14</v>
      </c>
      <c r="B49">
        <v>6</v>
      </c>
      <c r="C49" s="2" t="s">
        <v>28</v>
      </c>
      <c r="D49" t="s">
        <v>12</v>
      </c>
      <c r="E49">
        <v>0.85299999999999998</v>
      </c>
      <c r="F49" s="3">
        <v>0.52700000000000002</v>
      </c>
      <c r="G49">
        <f t="shared" si="26"/>
        <v>1.054</v>
      </c>
      <c r="H49">
        <f t="shared" si="27"/>
        <v>0.94599999999999995</v>
      </c>
      <c r="I49">
        <f t="shared" si="28"/>
        <v>0.56759999999999999</v>
      </c>
      <c r="J49">
        <f t="shared" si="29"/>
        <v>1.6215999999999999</v>
      </c>
      <c r="K49" s="3">
        <v>0.31619999999999998</v>
      </c>
      <c r="L49" s="3">
        <v>0.32129999999999997</v>
      </c>
      <c r="M49">
        <f t="shared" si="25"/>
        <v>0</v>
      </c>
      <c r="P49">
        <f t="shared" si="14"/>
        <v>0</v>
      </c>
      <c r="Q49">
        <f t="shared" si="15"/>
        <v>0</v>
      </c>
      <c r="R49">
        <f t="shared" si="16"/>
        <v>0</v>
      </c>
      <c r="S49">
        <f t="shared" si="17"/>
        <v>0</v>
      </c>
      <c r="T49" t="e">
        <f t="shared" si="18"/>
        <v>#DIV/0!</v>
      </c>
      <c r="U49" t="e">
        <f t="shared" si="19"/>
        <v>#DIV/0!</v>
      </c>
      <c r="V49" t="e">
        <f t="shared" si="20"/>
        <v>#DIV/0!</v>
      </c>
      <c r="W49" t="e">
        <f t="shared" si="12"/>
        <v>#DIV/0!</v>
      </c>
    </row>
    <row r="50" spans="1:23" x14ac:dyDescent="0.35">
      <c r="A50" t="s">
        <v>14</v>
      </c>
      <c r="B50">
        <v>6</v>
      </c>
      <c r="C50" s="2" t="s">
        <v>28</v>
      </c>
      <c r="D50" t="s">
        <v>9</v>
      </c>
      <c r="F50" s="3">
        <v>0.63500000000000001</v>
      </c>
      <c r="G50">
        <f t="shared" si="26"/>
        <v>1.27</v>
      </c>
      <c r="H50">
        <f t="shared" si="27"/>
        <v>0.73</v>
      </c>
      <c r="I50">
        <f t="shared" si="28"/>
        <v>0.438</v>
      </c>
      <c r="J50">
        <f t="shared" si="29"/>
        <v>1.708</v>
      </c>
      <c r="K50" s="3">
        <v>0.38100000000000001</v>
      </c>
      <c r="L50" s="3">
        <v>0.42104999999999998</v>
      </c>
      <c r="M50">
        <f t="shared" si="25"/>
        <v>0</v>
      </c>
      <c r="P50">
        <f t="shared" si="14"/>
        <v>0</v>
      </c>
      <c r="Q50">
        <f t="shared" si="15"/>
        <v>0</v>
      </c>
      <c r="R50">
        <f t="shared" si="16"/>
        <v>0</v>
      </c>
      <c r="S50">
        <f t="shared" si="17"/>
        <v>0</v>
      </c>
      <c r="T50" t="e">
        <f t="shared" si="18"/>
        <v>#DIV/0!</v>
      </c>
      <c r="U50" t="e">
        <f t="shared" si="19"/>
        <v>#DIV/0!</v>
      </c>
      <c r="V50" t="e">
        <f t="shared" si="20"/>
        <v>#DIV/0!</v>
      </c>
      <c r="W50" t="e">
        <f t="shared" si="12"/>
        <v>#DIV/0!</v>
      </c>
    </row>
    <row r="51" spans="1:23" x14ac:dyDescent="0.35">
      <c r="A51" t="s">
        <v>14</v>
      </c>
      <c r="B51">
        <v>6</v>
      </c>
      <c r="C51" s="2" t="s">
        <v>28</v>
      </c>
      <c r="D51" t="s">
        <v>13</v>
      </c>
      <c r="F51" s="3">
        <v>0.90700000000000003</v>
      </c>
      <c r="G51">
        <f t="shared" si="26"/>
        <v>1.8140000000000001</v>
      </c>
      <c r="H51">
        <f t="shared" si="27"/>
        <v>0.18599999999999994</v>
      </c>
      <c r="I51">
        <f t="shared" si="28"/>
        <v>0.11159999999999996</v>
      </c>
      <c r="J51">
        <f t="shared" si="29"/>
        <v>1.9256</v>
      </c>
      <c r="K51" s="3">
        <v>0.54420000000000002</v>
      </c>
      <c r="L51" s="3">
        <v>0.52875000000000005</v>
      </c>
      <c r="M51">
        <f t="shared" si="25"/>
        <v>0</v>
      </c>
      <c r="P51">
        <f t="shared" si="14"/>
        <v>0</v>
      </c>
      <c r="Q51">
        <f t="shared" si="15"/>
        <v>0</v>
      </c>
      <c r="R51">
        <f t="shared" si="16"/>
        <v>0</v>
      </c>
      <c r="S51">
        <f t="shared" si="17"/>
        <v>0</v>
      </c>
      <c r="T51" t="e">
        <f t="shared" si="18"/>
        <v>#DIV/0!</v>
      </c>
      <c r="U51" t="e">
        <f t="shared" si="19"/>
        <v>#DIV/0!</v>
      </c>
      <c r="V51" t="e">
        <f t="shared" si="20"/>
        <v>#DIV/0!</v>
      </c>
      <c r="W51" t="e">
        <f t="shared" si="12"/>
        <v>#DIV/0!</v>
      </c>
    </row>
    <row r="52" spans="1:23" x14ac:dyDescent="0.35">
      <c r="A52" t="s">
        <v>9</v>
      </c>
      <c r="B52">
        <v>7</v>
      </c>
      <c r="C52" s="2" t="s">
        <v>28</v>
      </c>
      <c r="D52" t="s">
        <v>10</v>
      </c>
      <c r="F52" s="3">
        <v>0.67300000000000004</v>
      </c>
      <c r="G52">
        <f t="shared" si="26"/>
        <v>1.3460000000000001</v>
      </c>
      <c r="H52">
        <f t="shared" si="27"/>
        <v>0.65399999999999991</v>
      </c>
      <c r="I52">
        <f t="shared" si="28"/>
        <v>0.39239999999999992</v>
      </c>
      <c r="J52">
        <f t="shared" si="29"/>
        <v>1.7383999999999999</v>
      </c>
      <c r="K52" s="3">
        <v>0.40379999999999999</v>
      </c>
      <c r="L52" s="3">
        <v>0.39465</v>
      </c>
      <c r="M52">
        <f t="shared" si="25"/>
        <v>0</v>
      </c>
      <c r="P52">
        <f t="shared" si="14"/>
        <v>0</v>
      </c>
      <c r="Q52">
        <f t="shared" si="15"/>
        <v>0</v>
      </c>
      <c r="R52">
        <f t="shared" si="16"/>
        <v>0</v>
      </c>
      <c r="S52">
        <f t="shared" si="17"/>
        <v>0</v>
      </c>
      <c r="T52" t="e">
        <f t="shared" si="18"/>
        <v>#DIV/0!</v>
      </c>
      <c r="U52" t="e">
        <f t="shared" si="19"/>
        <v>#DIV/0!</v>
      </c>
      <c r="V52" t="e">
        <f t="shared" si="20"/>
        <v>#DIV/0!</v>
      </c>
      <c r="W52" t="e">
        <f t="shared" si="12"/>
        <v>#DIV/0!</v>
      </c>
    </row>
    <row r="53" spans="1:23" x14ac:dyDescent="0.35">
      <c r="A53" t="s">
        <v>9</v>
      </c>
      <c r="B53">
        <v>7</v>
      </c>
      <c r="C53" s="2" t="s">
        <v>28</v>
      </c>
      <c r="D53" t="s">
        <v>11</v>
      </c>
      <c r="F53" s="3">
        <v>0.80400000000000005</v>
      </c>
      <c r="G53">
        <f t="shared" si="26"/>
        <v>1.6080000000000001</v>
      </c>
      <c r="H53">
        <f t="shared" si="27"/>
        <v>0.3919999999999999</v>
      </c>
      <c r="I53">
        <f t="shared" si="28"/>
        <v>0.23519999999999994</v>
      </c>
      <c r="J53">
        <f t="shared" si="29"/>
        <v>1.8431999999999999</v>
      </c>
      <c r="K53" s="3">
        <v>0.4824</v>
      </c>
      <c r="L53" s="3">
        <v>0.39434999999999998</v>
      </c>
      <c r="M53">
        <f t="shared" si="25"/>
        <v>0</v>
      </c>
      <c r="P53">
        <f t="shared" si="14"/>
        <v>0</v>
      </c>
      <c r="Q53">
        <f t="shared" si="15"/>
        <v>0</v>
      </c>
      <c r="R53">
        <f t="shared" si="16"/>
        <v>0</v>
      </c>
      <c r="S53">
        <f t="shared" si="17"/>
        <v>0</v>
      </c>
      <c r="T53" t="e">
        <f t="shared" si="18"/>
        <v>#DIV/0!</v>
      </c>
      <c r="U53" t="e">
        <f t="shared" si="19"/>
        <v>#DIV/0!</v>
      </c>
      <c r="V53" t="e">
        <f t="shared" si="20"/>
        <v>#DIV/0!</v>
      </c>
      <c r="W53" t="e">
        <f t="shared" si="12"/>
        <v>#DIV/0!</v>
      </c>
    </row>
    <row r="54" spans="1:23" x14ac:dyDescent="0.35">
      <c r="A54" t="s">
        <v>9</v>
      </c>
      <c r="B54">
        <v>7</v>
      </c>
      <c r="C54" s="2" t="s">
        <v>28</v>
      </c>
      <c r="D54" t="s">
        <v>12</v>
      </c>
      <c r="E54">
        <v>0.84399999999999997</v>
      </c>
      <c r="F54" s="3">
        <v>0.39500000000000002</v>
      </c>
      <c r="G54">
        <f t="shared" si="26"/>
        <v>0.79</v>
      </c>
      <c r="H54">
        <f t="shared" si="27"/>
        <v>1.21</v>
      </c>
      <c r="I54">
        <f t="shared" si="28"/>
        <v>0.72599999999999998</v>
      </c>
      <c r="J54">
        <f t="shared" si="29"/>
        <v>1.516</v>
      </c>
      <c r="K54" s="3">
        <v>0.23699999999999999</v>
      </c>
      <c r="L54" s="3">
        <v>0.25395000000000001</v>
      </c>
      <c r="M54">
        <f t="shared" si="25"/>
        <v>0</v>
      </c>
      <c r="P54">
        <f t="shared" si="14"/>
        <v>0</v>
      </c>
      <c r="Q54">
        <f t="shared" si="15"/>
        <v>0</v>
      </c>
      <c r="R54">
        <f t="shared" si="16"/>
        <v>0</v>
      </c>
      <c r="S54">
        <f t="shared" si="17"/>
        <v>0</v>
      </c>
      <c r="T54" t="e">
        <f t="shared" si="18"/>
        <v>#DIV/0!</v>
      </c>
      <c r="U54" t="e">
        <f t="shared" si="19"/>
        <v>#DIV/0!</v>
      </c>
      <c r="V54" t="e">
        <f t="shared" si="20"/>
        <v>#DIV/0!</v>
      </c>
      <c r="W54" t="e">
        <f t="shared" si="12"/>
        <v>#DIV/0!</v>
      </c>
    </row>
    <row r="55" spans="1:23" x14ac:dyDescent="0.35">
      <c r="A55" t="s">
        <v>9</v>
      </c>
      <c r="B55">
        <v>7</v>
      </c>
      <c r="C55" s="2" t="s">
        <v>28</v>
      </c>
      <c r="D55" t="s">
        <v>9</v>
      </c>
      <c r="F55" s="3">
        <v>0.57099999999999995</v>
      </c>
      <c r="G55">
        <f t="shared" si="26"/>
        <v>1.1419999999999999</v>
      </c>
      <c r="H55">
        <f t="shared" si="27"/>
        <v>0.8580000000000001</v>
      </c>
      <c r="I55">
        <f t="shared" si="28"/>
        <v>0.51480000000000004</v>
      </c>
      <c r="J55">
        <f t="shared" si="29"/>
        <v>1.6568000000000001</v>
      </c>
      <c r="K55" s="3">
        <v>0.34260000000000002</v>
      </c>
      <c r="L55" s="3">
        <v>0.38550000000000001</v>
      </c>
      <c r="M55">
        <f t="shared" si="25"/>
        <v>0</v>
      </c>
      <c r="P55">
        <f t="shared" si="14"/>
        <v>0</v>
      </c>
      <c r="Q55">
        <f t="shared" si="15"/>
        <v>0</v>
      </c>
      <c r="R55">
        <f t="shared" si="16"/>
        <v>0</v>
      </c>
      <c r="S55">
        <f t="shared" si="17"/>
        <v>0</v>
      </c>
      <c r="T55" t="e">
        <f t="shared" si="18"/>
        <v>#DIV/0!</v>
      </c>
      <c r="U55" t="e">
        <f t="shared" si="19"/>
        <v>#DIV/0!</v>
      </c>
      <c r="V55" t="e">
        <f t="shared" si="20"/>
        <v>#DIV/0!</v>
      </c>
      <c r="W55" t="e">
        <f t="shared" si="12"/>
        <v>#DIV/0!</v>
      </c>
    </row>
    <row r="56" spans="1:23" x14ac:dyDescent="0.35">
      <c r="A56" t="s">
        <v>9</v>
      </c>
      <c r="B56">
        <v>7</v>
      </c>
      <c r="C56" s="2" t="s">
        <v>28</v>
      </c>
      <c r="D56" t="s">
        <v>13</v>
      </c>
      <c r="F56" s="3">
        <v>0.95</v>
      </c>
      <c r="G56">
        <f t="shared" si="26"/>
        <v>1.9</v>
      </c>
      <c r="H56">
        <f t="shared" si="27"/>
        <v>0.10000000000000009</v>
      </c>
      <c r="I56">
        <f t="shared" si="28"/>
        <v>6.0000000000000053E-2</v>
      </c>
      <c r="J56">
        <f t="shared" si="29"/>
        <v>1.96</v>
      </c>
      <c r="K56" s="3">
        <v>0.56999999999999995</v>
      </c>
      <c r="L56" s="3">
        <v>0.54074999999999995</v>
      </c>
      <c r="M56">
        <f t="shared" si="25"/>
        <v>0</v>
      </c>
      <c r="P56">
        <f t="shared" si="14"/>
        <v>0</v>
      </c>
      <c r="Q56">
        <f t="shared" si="15"/>
        <v>0</v>
      </c>
      <c r="R56">
        <f t="shared" si="16"/>
        <v>0</v>
      </c>
      <c r="S56">
        <f t="shared" si="17"/>
        <v>0</v>
      </c>
      <c r="T56" t="e">
        <f t="shared" si="18"/>
        <v>#DIV/0!</v>
      </c>
      <c r="U56" t="e">
        <f t="shared" si="19"/>
        <v>#DIV/0!</v>
      </c>
      <c r="V56" t="e">
        <f t="shared" si="20"/>
        <v>#DIV/0!</v>
      </c>
      <c r="W56" t="e">
        <f t="shared" si="12"/>
        <v>#DIV/0!</v>
      </c>
    </row>
    <row r="57" spans="1:23" x14ac:dyDescent="0.35">
      <c r="A57" t="s">
        <v>14</v>
      </c>
      <c r="B57">
        <v>7</v>
      </c>
      <c r="C57" s="2" t="s">
        <v>28</v>
      </c>
      <c r="D57" t="s">
        <v>10</v>
      </c>
      <c r="F57" s="3">
        <v>0.65300000000000002</v>
      </c>
      <c r="G57">
        <f t="shared" si="26"/>
        <v>1.306</v>
      </c>
      <c r="H57">
        <f t="shared" si="27"/>
        <v>0.69399999999999995</v>
      </c>
      <c r="I57">
        <f t="shared" si="28"/>
        <v>0.41639999999999994</v>
      </c>
      <c r="J57">
        <f t="shared" si="29"/>
        <v>1.7223999999999999</v>
      </c>
      <c r="K57" s="3">
        <v>0.39179999999999998</v>
      </c>
      <c r="L57" s="3">
        <v>0.39884999999999998</v>
      </c>
      <c r="M57">
        <f t="shared" si="25"/>
        <v>0</v>
      </c>
      <c r="P57">
        <f t="shared" si="14"/>
        <v>0</v>
      </c>
      <c r="Q57">
        <f t="shared" si="15"/>
        <v>0</v>
      </c>
      <c r="R57">
        <f t="shared" si="16"/>
        <v>0</v>
      </c>
      <c r="S57">
        <f t="shared" si="17"/>
        <v>0</v>
      </c>
      <c r="T57" t="e">
        <f t="shared" si="18"/>
        <v>#DIV/0!</v>
      </c>
      <c r="U57" t="e">
        <f t="shared" si="19"/>
        <v>#DIV/0!</v>
      </c>
      <c r="V57" t="e">
        <f t="shared" si="20"/>
        <v>#DIV/0!</v>
      </c>
      <c r="W57" t="e">
        <f t="shared" si="12"/>
        <v>#DIV/0!</v>
      </c>
    </row>
    <row r="58" spans="1:23" x14ac:dyDescent="0.35">
      <c r="A58" t="s">
        <v>14</v>
      </c>
      <c r="B58">
        <v>7</v>
      </c>
      <c r="C58" s="2" t="s">
        <v>28</v>
      </c>
      <c r="D58" t="s">
        <v>11</v>
      </c>
      <c r="F58" s="3">
        <v>0.68400000000000005</v>
      </c>
      <c r="G58">
        <f t="shared" si="26"/>
        <v>1.3680000000000001</v>
      </c>
      <c r="H58">
        <f t="shared" si="27"/>
        <v>0.6319999999999999</v>
      </c>
      <c r="I58">
        <f t="shared" si="28"/>
        <v>0.37919999999999993</v>
      </c>
      <c r="J58">
        <f t="shared" si="29"/>
        <v>1.7472000000000001</v>
      </c>
      <c r="K58" s="3">
        <v>0.41039999999999999</v>
      </c>
      <c r="L58" s="3">
        <v>0.39434999999999998</v>
      </c>
      <c r="M58">
        <f t="shared" si="25"/>
        <v>0</v>
      </c>
      <c r="P58">
        <f t="shared" si="14"/>
        <v>0</v>
      </c>
      <c r="Q58">
        <f t="shared" si="15"/>
        <v>0</v>
      </c>
      <c r="R58">
        <f t="shared" si="16"/>
        <v>0</v>
      </c>
      <c r="S58">
        <f t="shared" si="17"/>
        <v>0</v>
      </c>
      <c r="T58" t="e">
        <f t="shared" si="18"/>
        <v>#DIV/0!</v>
      </c>
      <c r="U58" t="e">
        <f t="shared" si="19"/>
        <v>#DIV/0!</v>
      </c>
      <c r="V58" t="e">
        <f t="shared" si="20"/>
        <v>#DIV/0!</v>
      </c>
      <c r="W58" t="e">
        <f t="shared" si="12"/>
        <v>#DIV/0!</v>
      </c>
    </row>
    <row r="59" spans="1:23" x14ac:dyDescent="0.35">
      <c r="A59" t="s">
        <v>14</v>
      </c>
      <c r="B59">
        <v>7</v>
      </c>
      <c r="C59" s="2" t="s">
        <v>28</v>
      </c>
      <c r="D59" t="s">
        <v>12</v>
      </c>
      <c r="E59">
        <v>0.85299999999999998</v>
      </c>
      <c r="F59" s="3">
        <v>0.52700000000000002</v>
      </c>
      <c r="G59">
        <f t="shared" si="26"/>
        <v>1.054</v>
      </c>
      <c r="H59">
        <f t="shared" si="27"/>
        <v>0.94599999999999995</v>
      </c>
      <c r="I59">
        <f t="shared" si="28"/>
        <v>0.56759999999999999</v>
      </c>
      <c r="J59">
        <f t="shared" si="29"/>
        <v>1.6215999999999999</v>
      </c>
      <c r="K59" s="3">
        <v>0.31619999999999998</v>
      </c>
      <c r="L59" s="3">
        <v>0.32129999999999997</v>
      </c>
      <c r="M59">
        <f t="shared" si="25"/>
        <v>0</v>
      </c>
      <c r="P59">
        <f t="shared" si="14"/>
        <v>0</v>
      </c>
      <c r="Q59">
        <f t="shared" si="15"/>
        <v>0</v>
      </c>
      <c r="R59">
        <f t="shared" si="16"/>
        <v>0</v>
      </c>
      <c r="S59">
        <f t="shared" si="17"/>
        <v>0</v>
      </c>
      <c r="T59" t="e">
        <f t="shared" si="18"/>
        <v>#DIV/0!</v>
      </c>
      <c r="U59" t="e">
        <f t="shared" si="19"/>
        <v>#DIV/0!</v>
      </c>
      <c r="V59" t="e">
        <f t="shared" si="20"/>
        <v>#DIV/0!</v>
      </c>
      <c r="W59" t="e">
        <f t="shared" si="12"/>
        <v>#DIV/0!</v>
      </c>
    </row>
    <row r="60" spans="1:23" x14ac:dyDescent="0.35">
      <c r="A60" t="s">
        <v>14</v>
      </c>
      <c r="B60">
        <v>7</v>
      </c>
      <c r="C60" s="2" t="s">
        <v>28</v>
      </c>
      <c r="D60" t="s">
        <v>9</v>
      </c>
      <c r="F60" s="3">
        <v>0.63500000000000001</v>
      </c>
      <c r="G60">
        <f t="shared" si="26"/>
        <v>1.27</v>
      </c>
      <c r="H60">
        <f t="shared" si="27"/>
        <v>0.73</v>
      </c>
      <c r="I60">
        <f t="shared" si="28"/>
        <v>0.438</v>
      </c>
      <c r="J60">
        <f t="shared" si="29"/>
        <v>1.708</v>
      </c>
      <c r="K60" s="3">
        <v>0.38100000000000001</v>
      </c>
      <c r="L60" s="3">
        <v>0.42104999999999998</v>
      </c>
      <c r="M60">
        <f t="shared" si="25"/>
        <v>0</v>
      </c>
      <c r="P60">
        <f t="shared" si="14"/>
        <v>0</v>
      </c>
      <c r="Q60">
        <f t="shared" si="15"/>
        <v>0</v>
      </c>
      <c r="R60">
        <f t="shared" si="16"/>
        <v>0</v>
      </c>
      <c r="S60">
        <f t="shared" si="17"/>
        <v>0</v>
      </c>
      <c r="T60" t="e">
        <f t="shared" si="18"/>
        <v>#DIV/0!</v>
      </c>
      <c r="U60" t="e">
        <f t="shared" si="19"/>
        <v>#DIV/0!</v>
      </c>
      <c r="V60" t="e">
        <f t="shared" si="20"/>
        <v>#DIV/0!</v>
      </c>
      <c r="W60" t="e">
        <f t="shared" si="12"/>
        <v>#DIV/0!</v>
      </c>
    </row>
    <row r="61" spans="1:23" x14ac:dyDescent="0.35">
      <c r="A61" t="s">
        <v>14</v>
      </c>
      <c r="B61">
        <v>7</v>
      </c>
      <c r="C61" s="2" t="s">
        <v>28</v>
      </c>
      <c r="D61" t="s">
        <v>13</v>
      </c>
      <c r="F61" s="3">
        <v>0.90700000000000003</v>
      </c>
      <c r="G61">
        <f t="shared" si="26"/>
        <v>1.8140000000000001</v>
      </c>
      <c r="H61">
        <f t="shared" si="27"/>
        <v>0.18599999999999994</v>
      </c>
      <c r="I61">
        <f t="shared" si="28"/>
        <v>0.11159999999999996</v>
      </c>
      <c r="J61">
        <f t="shared" si="29"/>
        <v>1.9256</v>
      </c>
      <c r="K61" s="3">
        <v>0.54420000000000002</v>
      </c>
      <c r="L61" s="3">
        <v>0.52875000000000005</v>
      </c>
      <c r="M61">
        <f t="shared" si="25"/>
        <v>0</v>
      </c>
      <c r="P61">
        <f t="shared" si="14"/>
        <v>0</v>
      </c>
      <c r="Q61">
        <f t="shared" si="15"/>
        <v>0</v>
      </c>
      <c r="R61">
        <f t="shared" si="16"/>
        <v>0</v>
      </c>
      <c r="S61">
        <f t="shared" si="17"/>
        <v>0</v>
      </c>
      <c r="T61" t="e">
        <f t="shared" si="18"/>
        <v>#DIV/0!</v>
      </c>
      <c r="U61" t="e">
        <f t="shared" si="19"/>
        <v>#DIV/0!</v>
      </c>
      <c r="V61" t="e">
        <f t="shared" si="20"/>
        <v>#DIV/0!</v>
      </c>
      <c r="W61" t="e">
        <f t="shared" si="12"/>
        <v>#DIV/0!</v>
      </c>
    </row>
    <row r="62" spans="1:23" x14ac:dyDescent="0.35">
      <c r="A62" t="s">
        <v>9</v>
      </c>
      <c r="B62">
        <v>8</v>
      </c>
      <c r="C62" s="2" t="s">
        <v>28</v>
      </c>
      <c r="D62" t="s">
        <v>10</v>
      </c>
      <c r="F62" s="3">
        <v>0.67300000000000004</v>
      </c>
      <c r="G62">
        <f t="shared" si="26"/>
        <v>1.3460000000000001</v>
      </c>
      <c r="H62">
        <f t="shared" si="27"/>
        <v>0.65399999999999991</v>
      </c>
      <c r="I62">
        <f t="shared" si="28"/>
        <v>0.39239999999999992</v>
      </c>
      <c r="J62">
        <f t="shared" si="29"/>
        <v>1.7383999999999999</v>
      </c>
      <c r="K62" s="3">
        <v>0.40379999999999999</v>
      </c>
      <c r="L62" s="3">
        <v>0.39465</v>
      </c>
      <c r="M62">
        <f t="shared" si="25"/>
        <v>0</v>
      </c>
      <c r="P62">
        <f t="shared" si="14"/>
        <v>0</v>
      </c>
      <c r="Q62">
        <f t="shared" si="15"/>
        <v>0</v>
      </c>
      <c r="R62">
        <f t="shared" si="16"/>
        <v>0</v>
      </c>
      <c r="S62">
        <f t="shared" si="17"/>
        <v>0</v>
      </c>
      <c r="T62" t="e">
        <f t="shared" si="18"/>
        <v>#DIV/0!</v>
      </c>
      <c r="U62" t="e">
        <f t="shared" si="19"/>
        <v>#DIV/0!</v>
      </c>
      <c r="V62" t="e">
        <f t="shared" si="20"/>
        <v>#DIV/0!</v>
      </c>
      <c r="W62" t="e">
        <f t="shared" si="12"/>
        <v>#DIV/0!</v>
      </c>
    </row>
    <row r="63" spans="1:23" x14ac:dyDescent="0.35">
      <c r="A63" t="s">
        <v>9</v>
      </c>
      <c r="B63">
        <v>8</v>
      </c>
      <c r="C63" s="2" t="s">
        <v>28</v>
      </c>
      <c r="D63" t="s">
        <v>11</v>
      </c>
      <c r="F63" s="3">
        <v>0.80400000000000005</v>
      </c>
      <c r="G63">
        <f t="shared" si="26"/>
        <v>1.6080000000000001</v>
      </c>
      <c r="H63">
        <f t="shared" si="27"/>
        <v>0.3919999999999999</v>
      </c>
      <c r="I63">
        <f t="shared" si="28"/>
        <v>0.23519999999999994</v>
      </c>
      <c r="J63">
        <f t="shared" si="29"/>
        <v>1.8431999999999999</v>
      </c>
      <c r="K63" s="3">
        <v>0.4824</v>
      </c>
      <c r="L63" s="3">
        <v>0.39434999999999998</v>
      </c>
      <c r="M63">
        <f t="shared" si="25"/>
        <v>0</v>
      </c>
      <c r="P63">
        <f t="shared" si="14"/>
        <v>0</v>
      </c>
      <c r="Q63">
        <f t="shared" si="15"/>
        <v>0</v>
      </c>
      <c r="R63">
        <f t="shared" si="16"/>
        <v>0</v>
      </c>
      <c r="S63">
        <f t="shared" si="17"/>
        <v>0</v>
      </c>
      <c r="T63" t="e">
        <f t="shared" si="18"/>
        <v>#DIV/0!</v>
      </c>
      <c r="U63" t="e">
        <f t="shared" si="19"/>
        <v>#DIV/0!</v>
      </c>
      <c r="V63" t="e">
        <f t="shared" si="20"/>
        <v>#DIV/0!</v>
      </c>
      <c r="W63" t="e">
        <f t="shared" si="12"/>
        <v>#DIV/0!</v>
      </c>
    </row>
    <row r="64" spans="1:23" x14ac:dyDescent="0.35">
      <c r="A64" t="s">
        <v>9</v>
      </c>
      <c r="B64">
        <v>8</v>
      </c>
      <c r="C64" s="2" t="s">
        <v>28</v>
      </c>
      <c r="D64" t="s">
        <v>12</v>
      </c>
      <c r="E64">
        <v>0.84399999999999997</v>
      </c>
      <c r="F64" s="3">
        <v>0.39500000000000002</v>
      </c>
      <c r="G64">
        <f t="shared" si="26"/>
        <v>0.79</v>
      </c>
      <c r="H64">
        <f t="shared" si="27"/>
        <v>1.21</v>
      </c>
      <c r="I64">
        <f t="shared" si="28"/>
        <v>0.72599999999999998</v>
      </c>
      <c r="J64">
        <f t="shared" si="29"/>
        <v>1.516</v>
      </c>
      <c r="K64" s="3">
        <v>0.23699999999999999</v>
      </c>
      <c r="L64" s="3">
        <v>0.25395000000000001</v>
      </c>
      <c r="M64">
        <f t="shared" si="25"/>
        <v>0</v>
      </c>
      <c r="P64">
        <f t="shared" si="14"/>
        <v>0</v>
      </c>
      <c r="Q64">
        <f t="shared" si="15"/>
        <v>0</v>
      </c>
      <c r="R64">
        <f t="shared" si="16"/>
        <v>0</v>
      </c>
      <c r="S64">
        <f t="shared" si="17"/>
        <v>0</v>
      </c>
      <c r="T64" t="e">
        <f t="shared" si="18"/>
        <v>#DIV/0!</v>
      </c>
      <c r="U64" t="e">
        <f t="shared" si="19"/>
        <v>#DIV/0!</v>
      </c>
      <c r="V64" t="e">
        <f t="shared" si="20"/>
        <v>#DIV/0!</v>
      </c>
      <c r="W64" t="e">
        <f t="shared" si="12"/>
        <v>#DIV/0!</v>
      </c>
    </row>
    <row r="65" spans="1:23" x14ac:dyDescent="0.35">
      <c r="A65" t="s">
        <v>9</v>
      </c>
      <c r="B65">
        <v>8</v>
      </c>
      <c r="C65" s="2" t="s">
        <v>28</v>
      </c>
      <c r="D65" t="s">
        <v>9</v>
      </c>
      <c r="F65" s="3">
        <v>0.57099999999999995</v>
      </c>
      <c r="G65">
        <f t="shared" si="26"/>
        <v>1.1419999999999999</v>
      </c>
      <c r="H65">
        <f t="shared" si="27"/>
        <v>0.8580000000000001</v>
      </c>
      <c r="I65">
        <f t="shared" si="28"/>
        <v>0.51480000000000004</v>
      </c>
      <c r="J65">
        <f t="shared" si="29"/>
        <v>1.6568000000000001</v>
      </c>
      <c r="K65" s="3">
        <v>0.34260000000000002</v>
      </c>
      <c r="L65" s="3">
        <v>0.38550000000000001</v>
      </c>
      <c r="M65">
        <f t="shared" si="25"/>
        <v>0</v>
      </c>
      <c r="P65">
        <f t="shared" si="14"/>
        <v>0</v>
      </c>
      <c r="Q65">
        <f t="shared" si="15"/>
        <v>0</v>
      </c>
      <c r="R65">
        <f t="shared" si="16"/>
        <v>0</v>
      </c>
      <c r="S65">
        <f t="shared" si="17"/>
        <v>0</v>
      </c>
      <c r="T65" t="e">
        <f t="shared" si="18"/>
        <v>#DIV/0!</v>
      </c>
      <c r="U65" t="e">
        <f t="shared" si="19"/>
        <v>#DIV/0!</v>
      </c>
      <c r="V65" t="e">
        <f t="shared" si="20"/>
        <v>#DIV/0!</v>
      </c>
      <c r="W65" t="e">
        <f t="shared" si="12"/>
        <v>#DIV/0!</v>
      </c>
    </row>
    <row r="66" spans="1:23" x14ac:dyDescent="0.35">
      <c r="A66" t="s">
        <v>9</v>
      </c>
      <c r="B66">
        <v>8</v>
      </c>
      <c r="C66" s="2" t="s">
        <v>28</v>
      </c>
      <c r="D66" t="s">
        <v>13</v>
      </c>
      <c r="F66" s="3">
        <v>0.95</v>
      </c>
      <c r="G66">
        <f t="shared" si="26"/>
        <v>1.9</v>
      </c>
      <c r="H66">
        <f t="shared" si="27"/>
        <v>0.10000000000000009</v>
      </c>
      <c r="I66">
        <f t="shared" si="28"/>
        <v>6.0000000000000053E-2</v>
      </c>
      <c r="J66">
        <f t="shared" si="29"/>
        <v>1.96</v>
      </c>
      <c r="K66" s="3">
        <v>0.56999999999999995</v>
      </c>
      <c r="L66" s="3">
        <v>0.54074999999999995</v>
      </c>
      <c r="M66">
        <f t="shared" si="25"/>
        <v>0</v>
      </c>
      <c r="P66">
        <f t="shared" si="14"/>
        <v>0</v>
      </c>
      <c r="Q66">
        <f t="shared" si="15"/>
        <v>0</v>
      </c>
      <c r="R66">
        <f t="shared" si="16"/>
        <v>0</v>
      </c>
      <c r="S66">
        <f t="shared" si="17"/>
        <v>0</v>
      </c>
      <c r="T66" t="e">
        <f t="shared" si="18"/>
        <v>#DIV/0!</v>
      </c>
      <c r="U66" t="e">
        <f t="shared" si="19"/>
        <v>#DIV/0!</v>
      </c>
      <c r="V66" t="e">
        <f t="shared" si="20"/>
        <v>#DIV/0!</v>
      </c>
      <c r="W66" t="e">
        <f t="shared" si="12"/>
        <v>#DIV/0!</v>
      </c>
    </row>
    <row r="67" spans="1:23" x14ac:dyDescent="0.35">
      <c r="A67" t="s">
        <v>14</v>
      </c>
      <c r="B67">
        <v>8</v>
      </c>
      <c r="C67" s="2" t="s">
        <v>28</v>
      </c>
      <c r="D67" t="s">
        <v>10</v>
      </c>
      <c r="F67" s="3">
        <v>0.65300000000000002</v>
      </c>
      <c r="G67">
        <f t="shared" si="26"/>
        <v>1.306</v>
      </c>
      <c r="H67">
        <f t="shared" si="27"/>
        <v>0.69399999999999995</v>
      </c>
      <c r="I67">
        <f t="shared" si="28"/>
        <v>0.41639999999999994</v>
      </c>
      <c r="J67">
        <f t="shared" si="29"/>
        <v>1.7223999999999999</v>
      </c>
      <c r="K67" s="3">
        <v>0.39179999999999998</v>
      </c>
      <c r="L67" s="3">
        <v>0.39884999999999998</v>
      </c>
      <c r="M67">
        <f t="shared" si="25"/>
        <v>0</v>
      </c>
      <c r="P67">
        <f t="shared" si="14"/>
        <v>0</v>
      </c>
      <c r="Q67">
        <f t="shared" si="15"/>
        <v>0</v>
      </c>
      <c r="R67">
        <f t="shared" si="16"/>
        <v>0</v>
      </c>
      <c r="S67">
        <f t="shared" si="17"/>
        <v>0</v>
      </c>
      <c r="T67" t="e">
        <f t="shared" si="18"/>
        <v>#DIV/0!</v>
      </c>
      <c r="U67" t="e">
        <f t="shared" si="19"/>
        <v>#DIV/0!</v>
      </c>
      <c r="V67" t="e">
        <f t="shared" si="20"/>
        <v>#DIV/0!</v>
      </c>
      <c r="W67" t="e">
        <f t="shared" ref="W67:W81" si="30">V67*1000</f>
        <v>#DIV/0!</v>
      </c>
    </row>
    <row r="68" spans="1:23" x14ac:dyDescent="0.35">
      <c r="A68" t="s">
        <v>14</v>
      </c>
      <c r="B68">
        <v>8</v>
      </c>
      <c r="C68" s="2" t="s">
        <v>28</v>
      </c>
      <c r="D68" t="s">
        <v>11</v>
      </c>
      <c r="F68" s="3">
        <v>0.68400000000000005</v>
      </c>
      <c r="G68">
        <f t="shared" si="26"/>
        <v>1.3680000000000001</v>
      </c>
      <c r="H68">
        <f t="shared" si="27"/>
        <v>0.6319999999999999</v>
      </c>
      <c r="I68">
        <f t="shared" si="28"/>
        <v>0.37919999999999993</v>
      </c>
      <c r="J68">
        <f t="shared" si="29"/>
        <v>1.7472000000000001</v>
      </c>
      <c r="K68" s="3">
        <v>0.41039999999999999</v>
      </c>
      <c r="L68" s="3">
        <v>0.39434999999999998</v>
      </c>
      <c r="M68">
        <f t="shared" si="25"/>
        <v>0</v>
      </c>
      <c r="P68">
        <f t="shared" si="14"/>
        <v>0</v>
      </c>
      <c r="Q68">
        <f t="shared" si="15"/>
        <v>0</v>
      </c>
      <c r="R68">
        <f t="shared" si="16"/>
        <v>0</v>
      </c>
      <c r="S68">
        <f t="shared" si="17"/>
        <v>0</v>
      </c>
      <c r="T68" t="e">
        <f t="shared" si="18"/>
        <v>#DIV/0!</v>
      </c>
      <c r="U68" t="e">
        <f t="shared" si="19"/>
        <v>#DIV/0!</v>
      </c>
      <c r="V68" t="e">
        <f t="shared" si="20"/>
        <v>#DIV/0!</v>
      </c>
      <c r="W68" t="e">
        <f t="shared" si="30"/>
        <v>#DIV/0!</v>
      </c>
    </row>
    <row r="69" spans="1:23" x14ac:dyDescent="0.35">
      <c r="A69" t="s">
        <v>14</v>
      </c>
      <c r="B69">
        <v>8</v>
      </c>
      <c r="C69" s="2" t="s">
        <v>28</v>
      </c>
      <c r="D69" t="s">
        <v>12</v>
      </c>
      <c r="E69">
        <v>0.85299999999999998</v>
      </c>
      <c r="F69" s="3">
        <v>0.52700000000000002</v>
      </c>
      <c r="G69">
        <f t="shared" si="26"/>
        <v>1.054</v>
      </c>
      <c r="H69">
        <f t="shared" si="27"/>
        <v>0.94599999999999995</v>
      </c>
      <c r="I69">
        <f t="shared" si="28"/>
        <v>0.56759999999999999</v>
      </c>
      <c r="J69">
        <f t="shared" si="29"/>
        <v>1.6215999999999999</v>
      </c>
      <c r="K69" s="3">
        <v>0.31619999999999998</v>
      </c>
      <c r="L69" s="3">
        <v>0.32129999999999997</v>
      </c>
      <c r="M69">
        <f t="shared" si="25"/>
        <v>0</v>
      </c>
      <c r="P69">
        <f t="shared" si="14"/>
        <v>0</v>
      </c>
      <c r="Q69">
        <f t="shared" si="15"/>
        <v>0</v>
      </c>
      <c r="R69">
        <f t="shared" si="16"/>
        <v>0</v>
      </c>
      <c r="S69">
        <f t="shared" si="17"/>
        <v>0</v>
      </c>
      <c r="T69" t="e">
        <f t="shared" si="18"/>
        <v>#DIV/0!</v>
      </c>
      <c r="U69" t="e">
        <f t="shared" si="19"/>
        <v>#DIV/0!</v>
      </c>
      <c r="V69" t="e">
        <f t="shared" si="20"/>
        <v>#DIV/0!</v>
      </c>
      <c r="W69" t="e">
        <f t="shared" si="30"/>
        <v>#DIV/0!</v>
      </c>
    </row>
    <row r="70" spans="1:23" x14ac:dyDescent="0.35">
      <c r="A70" t="s">
        <v>14</v>
      </c>
      <c r="B70">
        <v>8</v>
      </c>
      <c r="C70" s="2" t="s">
        <v>28</v>
      </c>
      <c r="D70" t="s">
        <v>9</v>
      </c>
      <c r="F70" s="3">
        <v>0.63500000000000001</v>
      </c>
      <c r="G70">
        <f t="shared" si="26"/>
        <v>1.27</v>
      </c>
      <c r="H70">
        <f t="shared" si="27"/>
        <v>0.73</v>
      </c>
      <c r="I70">
        <f t="shared" si="28"/>
        <v>0.438</v>
      </c>
      <c r="J70">
        <f t="shared" si="29"/>
        <v>1.708</v>
      </c>
      <c r="K70" s="3">
        <v>0.38100000000000001</v>
      </c>
      <c r="L70" s="3">
        <v>0.42104999999999998</v>
      </c>
      <c r="M70">
        <f t="shared" si="25"/>
        <v>0</v>
      </c>
      <c r="P70">
        <f t="shared" si="14"/>
        <v>0</v>
      </c>
      <c r="Q70">
        <f t="shared" si="15"/>
        <v>0</v>
      </c>
      <c r="R70">
        <f t="shared" si="16"/>
        <v>0</v>
      </c>
      <c r="S70">
        <f t="shared" si="17"/>
        <v>0</v>
      </c>
      <c r="T70" t="e">
        <f t="shared" si="18"/>
        <v>#DIV/0!</v>
      </c>
      <c r="U70" t="e">
        <f t="shared" si="19"/>
        <v>#DIV/0!</v>
      </c>
      <c r="V70" t="e">
        <f t="shared" si="20"/>
        <v>#DIV/0!</v>
      </c>
      <c r="W70" t="e">
        <f t="shared" si="30"/>
        <v>#DIV/0!</v>
      </c>
    </row>
    <row r="71" spans="1:23" x14ac:dyDescent="0.35">
      <c r="A71" t="s">
        <v>14</v>
      </c>
      <c r="B71">
        <v>8</v>
      </c>
      <c r="C71" s="2" t="s">
        <v>28</v>
      </c>
      <c r="D71" t="s">
        <v>13</v>
      </c>
      <c r="F71" s="3">
        <v>0.90700000000000003</v>
      </c>
      <c r="G71">
        <f t="shared" si="26"/>
        <v>1.8140000000000001</v>
      </c>
      <c r="H71">
        <f t="shared" si="27"/>
        <v>0.18599999999999994</v>
      </c>
      <c r="I71">
        <f t="shared" si="28"/>
        <v>0.11159999999999996</v>
      </c>
      <c r="J71">
        <f t="shared" si="29"/>
        <v>1.9256</v>
      </c>
      <c r="K71" s="3">
        <v>0.54420000000000002</v>
      </c>
      <c r="L71" s="3">
        <v>0.52875000000000005</v>
      </c>
      <c r="M71">
        <f t="shared" si="25"/>
        <v>0</v>
      </c>
      <c r="P71">
        <f t="shared" si="14"/>
        <v>0</v>
      </c>
      <c r="Q71">
        <f t="shared" si="15"/>
        <v>0</v>
      </c>
      <c r="R71">
        <f t="shared" si="16"/>
        <v>0</v>
      </c>
      <c r="S71">
        <f t="shared" si="17"/>
        <v>0</v>
      </c>
      <c r="T71" t="e">
        <f t="shared" si="18"/>
        <v>#DIV/0!</v>
      </c>
      <c r="U71" t="e">
        <f t="shared" si="19"/>
        <v>#DIV/0!</v>
      </c>
      <c r="V71" t="e">
        <f t="shared" si="20"/>
        <v>#DIV/0!</v>
      </c>
      <c r="W71" t="e">
        <f t="shared" si="30"/>
        <v>#DIV/0!</v>
      </c>
    </row>
    <row r="72" spans="1:23" x14ac:dyDescent="0.35">
      <c r="A72" t="s">
        <v>9</v>
      </c>
      <c r="B72">
        <v>9</v>
      </c>
      <c r="C72" s="2" t="s">
        <v>28</v>
      </c>
      <c r="D72" t="s">
        <v>10</v>
      </c>
      <c r="F72" s="3">
        <v>0.67300000000000004</v>
      </c>
      <c r="G72">
        <f t="shared" si="26"/>
        <v>1.3460000000000001</v>
      </c>
      <c r="H72">
        <f t="shared" si="27"/>
        <v>0.65399999999999991</v>
      </c>
      <c r="I72">
        <f t="shared" si="28"/>
        <v>0.39239999999999992</v>
      </c>
      <c r="J72">
        <f t="shared" si="29"/>
        <v>1.7383999999999999</v>
      </c>
      <c r="K72" s="3">
        <v>0.40379999999999999</v>
      </c>
      <c r="L72" s="3">
        <v>0.39465</v>
      </c>
      <c r="M72">
        <f t="shared" si="25"/>
        <v>0</v>
      </c>
      <c r="P72">
        <f t="shared" si="14"/>
        <v>0</v>
      </c>
      <c r="Q72">
        <f t="shared" si="15"/>
        <v>0</v>
      </c>
      <c r="R72">
        <f t="shared" si="16"/>
        <v>0</v>
      </c>
      <c r="S72">
        <f t="shared" si="17"/>
        <v>0</v>
      </c>
      <c r="T72" t="e">
        <f t="shared" si="18"/>
        <v>#DIV/0!</v>
      </c>
      <c r="U72" t="e">
        <f t="shared" si="19"/>
        <v>#DIV/0!</v>
      </c>
      <c r="V72" t="e">
        <f t="shared" si="20"/>
        <v>#DIV/0!</v>
      </c>
      <c r="W72" t="e">
        <f t="shared" si="30"/>
        <v>#DIV/0!</v>
      </c>
    </row>
    <row r="73" spans="1:23" x14ac:dyDescent="0.35">
      <c r="A73" t="s">
        <v>9</v>
      </c>
      <c r="B73">
        <v>9</v>
      </c>
      <c r="C73" s="2" t="s">
        <v>28</v>
      </c>
      <c r="D73" t="s">
        <v>11</v>
      </c>
      <c r="F73" s="3">
        <v>0.80400000000000005</v>
      </c>
      <c r="G73">
        <f t="shared" si="26"/>
        <v>1.6080000000000001</v>
      </c>
      <c r="H73">
        <f t="shared" si="27"/>
        <v>0.3919999999999999</v>
      </c>
      <c r="I73">
        <f t="shared" si="28"/>
        <v>0.23519999999999994</v>
      </c>
      <c r="J73">
        <f t="shared" si="29"/>
        <v>1.8431999999999999</v>
      </c>
      <c r="K73" s="3">
        <v>0.4824</v>
      </c>
      <c r="L73" s="3">
        <v>0.39434999999999998</v>
      </c>
      <c r="M73">
        <f t="shared" si="25"/>
        <v>0</v>
      </c>
      <c r="P73">
        <f t="shared" si="14"/>
        <v>0</v>
      </c>
      <c r="Q73">
        <f t="shared" si="15"/>
        <v>0</v>
      </c>
      <c r="R73">
        <f t="shared" si="16"/>
        <v>0</v>
      </c>
      <c r="S73">
        <f t="shared" si="17"/>
        <v>0</v>
      </c>
      <c r="T73" t="e">
        <f t="shared" si="18"/>
        <v>#DIV/0!</v>
      </c>
      <c r="U73" t="e">
        <f t="shared" si="19"/>
        <v>#DIV/0!</v>
      </c>
      <c r="V73" t="e">
        <f t="shared" si="20"/>
        <v>#DIV/0!</v>
      </c>
      <c r="W73" t="e">
        <f t="shared" si="30"/>
        <v>#DIV/0!</v>
      </c>
    </row>
    <row r="74" spans="1:23" x14ac:dyDescent="0.35">
      <c r="A74" t="s">
        <v>9</v>
      </c>
      <c r="B74">
        <v>9</v>
      </c>
      <c r="C74" s="2" t="s">
        <v>28</v>
      </c>
      <c r="D74" t="s">
        <v>12</v>
      </c>
      <c r="E74">
        <v>0.84399999999999997</v>
      </c>
      <c r="F74" s="3">
        <v>0.39500000000000002</v>
      </c>
      <c r="G74">
        <f t="shared" si="26"/>
        <v>0.79</v>
      </c>
      <c r="H74">
        <f t="shared" si="27"/>
        <v>1.21</v>
      </c>
      <c r="I74">
        <f t="shared" si="28"/>
        <v>0.72599999999999998</v>
      </c>
      <c r="J74">
        <f t="shared" si="29"/>
        <v>1.516</v>
      </c>
      <c r="K74" s="3">
        <v>0.23699999999999999</v>
      </c>
      <c r="L74" s="3">
        <v>0.25395000000000001</v>
      </c>
      <c r="M74">
        <f t="shared" si="25"/>
        <v>0</v>
      </c>
      <c r="P74">
        <f t="shared" si="14"/>
        <v>0</v>
      </c>
      <c r="Q74">
        <f t="shared" si="15"/>
        <v>0</v>
      </c>
      <c r="R74">
        <f t="shared" si="16"/>
        <v>0</v>
      </c>
      <c r="S74">
        <f t="shared" si="17"/>
        <v>0</v>
      </c>
      <c r="T74" t="e">
        <f t="shared" si="18"/>
        <v>#DIV/0!</v>
      </c>
      <c r="U74" t="e">
        <f t="shared" si="19"/>
        <v>#DIV/0!</v>
      </c>
      <c r="V74" t="e">
        <f t="shared" si="20"/>
        <v>#DIV/0!</v>
      </c>
      <c r="W74" t="e">
        <f t="shared" si="30"/>
        <v>#DIV/0!</v>
      </c>
    </row>
    <row r="75" spans="1:23" x14ac:dyDescent="0.35">
      <c r="A75" t="s">
        <v>9</v>
      </c>
      <c r="B75">
        <v>9</v>
      </c>
      <c r="C75" s="2" t="s">
        <v>28</v>
      </c>
      <c r="D75" t="s">
        <v>9</v>
      </c>
      <c r="F75" s="3">
        <v>0.57099999999999995</v>
      </c>
      <c r="G75">
        <f t="shared" si="26"/>
        <v>1.1419999999999999</v>
      </c>
      <c r="H75">
        <f t="shared" si="27"/>
        <v>0.8580000000000001</v>
      </c>
      <c r="I75">
        <f t="shared" si="28"/>
        <v>0.51480000000000004</v>
      </c>
      <c r="J75">
        <f t="shared" si="29"/>
        <v>1.6568000000000001</v>
      </c>
      <c r="K75" s="3">
        <v>0.34260000000000002</v>
      </c>
      <c r="L75" s="3">
        <v>0.38550000000000001</v>
      </c>
      <c r="M75">
        <f t="shared" si="25"/>
        <v>0</v>
      </c>
      <c r="P75">
        <f t="shared" si="14"/>
        <v>0</v>
      </c>
      <c r="Q75">
        <f t="shared" si="15"/>
        <v>0</v>
      </c>
      <c r="R75">
        <f t="shared" si="16"/>
        <v>0</v>
      </c>
      <c r="S75">
        <f t="shared" si="17"/>
        <v>0</v>
      </c>
      <c r="T75" t="e">
        <f t="shared" si="18"/>
        <v>#DIV/0!</v>
      </c>
      <c r="U75" t="e">
        <f t="shared" si="19"/>
        <v>#DIV/0!</v>
      </c>
      <c r="V75" t="e">
        <f t="shared" si="20"/>
        <v>#DIV/0!</v>
      </c>
      <c r="W75" t="e">
        <f t="shared" si="30"/>
        <v>#DIV/0!</v>
      </c>
    </row>
    <row r="76" spans="1:23" x14ac:dyDescent="0.35">
      <c r="A76" t="s">
        <v>9</v>
      </c>
      <c r="B76">
        <v>9</v>
      </c>
      <c r="C76" s="2" t="s">
        <v>28</v>
      </c>
      <c r="D76" t="s">
        <v>13</v>
      </c>
      <c r="F76" s="3">
        <v>0.95</v>
      </c>
      <c r="G76">
        <f t="shared" si="26"/>
        <v>1.9</v>
      </c>
      <c r="H76">
        <f t="shared" si="27"/>
        <v>0.10000000000000009</v>
      </c>
      <c r="I76">
        <f t="shared" si="28"/>
        <v>6.0000000000000053E-2</v>
      </c>
      <c r="J76">
        <f t="shared" si="29"/>
        <v>1.96</v>
      </c>
      <c r="K76" s="3">
        <v>0.56999999999999995</v>
      </c>
      <c r="L76" s="3">
        <v>0.54074999999999995</v>
      </c>
      <c r="M76">
        <f t="shared" si="25"/>
        <v>0</v>
      </c>
      <c r="P76">
        <f t="shared" ref="P76:P81" si="31">M76*F76</f>
        <v>0</v>
      </c>
      <c r="Q76">
        <f t="shared" ref="Q76:Q81" si="32">M76-P76</f>
        <v>0</v>
      </c>
      <c r="R76">
        <f t="shared" ref="R76:R81" si="33">Q76*0.6</f>
        <v>0</v>
      </c>
      <c r="S76">
        <f t="shared" ref="S76:S81" si="34">R76+P76+O76</f>
        <v>0</v>
      </c>
      <c r="T76" t="e">
        <f t="shared" ref="T76:T81" si="35">P76/(S76-O76)</f>
        <v>#DIV/0!</v>
      </c>
      <c r="U76" t="e">
        <f t="shared" ref="U76:U81" si="36">T76*2</f>
        <v>#DIV/0!</v>
      </c>
      <c r="V76" t="e">
        <f t="shared" ref="V76:V81" si="37">(2-U76)/20</f>
        <v>#DIV/0!</v>
      </c>
      <c r="W76" t="e">
        <f t="shared" si="30"/>
        <v>#DIV/0!</v>
      </c>
    </row>
    <row r="77" spans="1:23" x14ac:dyDescent="0.35">
      <c r="A77" t="s">
        <v>14</v>
      </c>
      <c r="B77">
        <v>9</v>
      </c>
      <c r="C77" s="2" t="s">
        <v>28</v>
      </c>
      <c r="D77" t="s">
        <v>10</v>
      </c>
      <c r="F77" s="3">
        <v>0.65300000000000002</v>
      </c>
      <c r="G77">
        <f t="shared" si="26"/>
        <v>1.306</v>
      </c>
      <c r="H77">
        <f t="shared" si="27"/>
        <v>0.69399999999999995</v>
      </c>
      <c r="I77">
        <f t="shared" si="28"/>
        <v>0.41639999999999994</v>
      </c>
      <c r="J77">
        <f t="shared" si="29"/>
        <v>1.7223999999999999</v>
      </c>
      <c r="K77" s="3">
        <v>0.39179999999999998</v>
      </c>
      <c r="L77" s="3">
        <v>0.39884999999999998</v>
      </c>
      <c r="M77">
        <f t="shared" si="25"/>
        <v>0</v>
      </c>
      <c r="P77">
        <f t="shared" si="31"/>
        <v>0</v>
      </c>
      <c r="Q77">
        <f t="shared" si="32"/>
        <v>0</v>
      </c>
      <c r="R77">
        <f t="shared" si="33"/>
        <v>0</v>
      </c>
      <c r="S77">
        <f t="shared" si="34"/>
        <v>0</v>
      </c>
      <c r="T77" t="e">
        <f t="shared" si="35"/>
        <v>#DIV/0!</v>
      </c>
      <c r="U77" t="e">
        <f t="shared" si="36"/>
        <v>#DIV/0!</v>
      </c>
      <c r="V77" t="e">
        <f t="shared" si="37"/>
        <v>#DIV/0!</v>
      </c>
      <c r="W77" t="e">
        <f t="shared" si="30"/>
        <v>#DIV/0!</v>
      </c>
    </row>
    <row r="78" spans="1:23" x14ac:dyDescent="0.35">
      <c r="A78" t="s">
        <v>14</v>
      </c>
      <c r="B78">
        <v>9</v>
      </c>
      <c r="C78" s="2" t="s">
        <v>28</v>
      </c>
      <c r="D78" t="s">
        <v>11</v>
      </c>
      <c r="F78" s="3">
        <v>0.68400000000000005</v>
      </c>
      <c r="G78">
        <f t="shared" si="26"/>
        <v>1.3680000000000001</v>
      </c>
      <c r="H78">
        <f t="shared" si="27"/>
        <v>0.6319999999999999</v>
      </c>
      <c r="I78">
        <f t="shared" si="28"/>
        <v>0.37919999999999993</v>
      </c>
      <c r="J78">
        <f t="shared" si="29"/>
        <v>1.7472000000000001</v>
      </c>
      <c r="K78" s="3">
        <v>0.41039999999999999</v>
      </c>
      <c r="L78" s="3">
        <v>0.39434999999999998</v>
      </c>
      <c r="M78">
        <f t="shared" ref="M78:M141" si="38">N78-O78</f>
        <v>0</v>
      </c>
      <c r="P78">
        <f t="shared" si="31"/>
        <v>0</v>
      </c>
      <c r="Q78">
        <f t="shared" si="32"/>
        <v>0</v>
      </c>
      <c r="R78">
        <f t="shared" si="33"/>
        <v>0</v>
      </c>
      <c r="S78">
        <f t="shared" si="34"/>
        <v>0</v>
      </c>
      <c r="T78" t="e">
        <f t="shared" si="35"/>
        <v>#DIV/0!</v>
      </c>
      <c r="U78" t="e">
        <f t="shared" si="36"/>
        <v>#DIV/0!</v>
      </c>
      <c r="V78" t="e">
        <f t="shared" si="37"/>
        <v>#DIV/0!</v>
      </c>
      <c r="W78" t="e">
        <f t="shared" si="30"/>
        <v>#DIV/0!</v>
      </c>
    </row>
    <row r="79" spans="1:23" x14ac:dyDescent="0.35">
      <c r="A79" t="s">
        <v>14</v>
      </c>
      <c r="B79">
        <v>9</v>
      </c>
      <c r="C79" s="2" t="s">
        <v>28</v>
      </c>
      <c r="D79" t="s">
        <v>12</v>
      </c>
      <c r="E79">
        <v>0.85299999999999998</v>
      </c>
      <c r="F79" s="3">
        <v>0.52700000000000002</v>
      </c>
      <c r="G79">
        <f t="shared" si="26"/>
        <v>1.054</v>
      </c>
      <c r="H79">
        <f t="shared" si="27"/>
        <v>0.94599999999999995</v>
      </c>
      <c r="I79">
        <f t="shared" si="28"/>
        <v>0.56759999999999999</v>
      </c>
      <c r="J79">
        <f t="shared" si="29"/>
        <v>1.6215999999999999</v>
      </c>
      <c r="K79" s="3">
        <v>0.31619999999999998</v>
      </c>
      <c r="L79" s="3">
        <v>0.32129999999999997</v>
      </c>
      <c r="M79">
        <f t="shared" si="38"/>
        <v>0</v>
      </c>
      <c r="P79">
        <f t="shared" si="31"/>
        <v>0</v>
      </c>
      <c r="Q79">
        <f t="shared" si="32"/>
        <v>0</v>
      </c>
      <c r="R79">
        <f t="shared" si="33"/>
        <v>0</v>
      </c>
      <c r="S79">
        <f t="shared" si="34"/>
        <v>0</v>
      </c>
      <c r="T79" t="e">
        <f t="shared" si="35"/>
        <v>#DIV/0!</v>
      </c>
      <c r="U79" t="e">
        <f t="shared" si="36"/>
        <v>#DIV/0!</v>
      </c>
      <c r="V79" t="e">
        <f t="shared" si="37"/>
        <v>#DIV/0!</v>
      </c>
      <c r="W79" t="e">
        <f t="shared" si="30"/>
        <v>#DIV/0!</v>
      </c>
    </row>
    <row r="80" spans="1:23" x14ac:dyDescent="0.35">
      <c r="A80" t="s">
        <v>14</v>
      </c>
      <c r="B80">
        <v>9</v>
      </c>
      <c r="C80" s="2" t="s">
        <v>28</v>
      </c>
      <c r="D80" t="s">
        <v>9</v>
      </c>
      <c r="F80" s="3">
        <v>0.63500000000000001</v>
      </c>
      <c r="G80">
        <f t="shared" si="26"/>
        <v>1.27</v>
      </c>
      <c r="H80">
        <f t="shared" si="27"/>
        <v>0.73</v>
      </c>
      <c r="I80">
        <f t="shared" si="28"/>
        <v>0.438</v>
      </c>
      <c r="J80">
        <f t="shared" si="29"/>
        <v>1.708</v>
      </c>
      <c r="K80" s="3">
        <v>0.38100000000000001</v>
      </c>
      <c r="L80" s="3">
        <v>0.42104999999999998</v>
      </c>
      <c r="M80">
        <f t="shared" si="38"/>
        <v>0</v>
      </c>
      <c r="P80">
        <f t="shared" si="31"/>
        <v>0</v>
      </c>
      <c r="Q80">
        <f t="shared" si="32"/>
        <v>0</v>
      </c>
      <c r="R80">
        <f t="shared" si="33"/>
        <v>0</v>
      </c>
      <c r="S80">
        <f t="shared" si="34"/>
        <v>0</v>
      </c>
      <c r="T80" t="e">
        <f t="shared" si="35"/>
        <v>#DIV/0!</v>
      </c>
      <c r="U80" t="e">
        <f t="shared" si="36"/>
        <v>#DIV/0!</v>
      </c>
      <c r="V80" t="e">
        <f t="shared" si="37"/>
        <v>#DIV/0!</v>
      </c>
      <c r="W80" t="e">
        <f t="shared" si="30"/>
        <v>#DIV/0!</v>
      </c>
    </row>
    <row r="81" spans="1:23" x14ac:dyDescent="0.35">
      <c r="A81" t="s">
        <v>14</v>
      </c>
      <c r="B81">
        <v>9</v>
      </c>
      <c r="C81" s="2" t="s">
        <v>28</v>
      </c>
      <c r="D81" t="s">
        <v>13</v>
      </c>
      <c r="F81" s="3">
        <v>0.90700000000000003</v>
      </c>
      <c r="G81">
        <f t="shared" si="26"/>
        <v>1.8140000000000001</v>
      </c>
      <c r="H81">
        <f t="shared" si="27"/>
        <v>0.18599999999999994</v>
      </c>
      <c r="I81">
        <f t="shared" si="28"/>
        <v>0.11159999999999996</v>
      </c>
      <c r="J81">
        <f t="shared" si="29"/>
        <v>1.9256</v>
      </c>
      <c r="K81" s="3">
        <v>0.54420000000000002</v>
      </c>
      <c r="L81" s="3">
        <v>0.52875000000000005</v>
      </c>
      <c r="M81">
        <f t="shared" si="38"/>
        <v>0</v>
      </c>
      <c r="P81">
        <f t="shared" si="31"/>
        <v>0</v>
      </c>
      <c r="Q81">
        <f t="shared" si="32"/>
        <v>0</v>
      </c>
      <c r="R81">
        <f t="shared" si="33"/>
        <v>0</v>
      </c>
      <c r="S81">
        <f t="shared" si="34"/>
        <v>0</v>
      </c>
      <c r="T81" t="e">
        <f t="shared" si="35"/>
        <v>#DIV/0!</v>
      </c>
      <c r="U81" t="e">
        <f t="shared" si="36"/>
        <v>#DIV/0!</v>
      </c>
      <c r="V81" t="e">
        <f t="shared" si="37"/>
        <v>#DIV/0!</v>
      </c>
      <c r="W81" t="e">
        <f t="shared" si="3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McMillan</dc:creator>
  <cp:lastModifiedBy>Cameron McMillan</cp:lastModifiedBy>
  <dcterms:created xsi:type="dcterms:W3CDTF">2024-05-29T15:27:28Z</dcterms:created>
  <dcterms:modified xsi:type="dcterms:W3CDTF">2024-06-07T16:00:57Z</dcterms:modified>
</cp:coreProperties>
</file>